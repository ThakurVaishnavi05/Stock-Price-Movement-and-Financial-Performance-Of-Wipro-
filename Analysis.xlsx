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shnavi\Desktop\major project\"/>
    </mc:Choice>
  </mc:AlternateContent>
  <xr:revisionPtr revIDLastSave="0" documentId="13_ncr:1_{48802A01-56EF-4C61-8187-F05FD8D28703}" xr6:coauthVersionLast="47" xr6:coauthVersionMax="47" xr10:uidLastSave="{00000000-0000-0000-0000-000000000000}"/>
  <bookViews>
    <workbookView xWindow="-103" yWindow="-103" windowWidth="22149" windowHeight="13200" firstSheet="6" activeTab="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5 years financial data" sheetId="7" r:id="rId6"/>
    <sheet name="Analysis" sheetId="8" r:id="rId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8" i="8" l="1"/>
  <c r="I3" i="8"/>
  <c r="I4" i="8"/>
  <c r="I5" i="8"/>
  <c r="I6" i="8"/>
  <c r="I7" i="8"/>
  <c r="I2" i="8"/>
  <c r="D50" i="8"/>
  <c r="D45" i="8"/>
  <c r="D46" i="8"/>
  <c r="D47" i="8"/>
  <c r="D48" i="8"/>
  <c r="D49" i="8"/>
  <c r="D44" i="8"/>
  <c r="K9" i="2"/>
  <c r="J9" i="2"/>
  <c r="J10" i="2"/>
  <c r="I9" i="2"/>
  <c r="H9" i="2"/>
  <c r="G9" i="2"/>
  <c r="F9" i="2"/>
  <c r="D41" i="8"/>
  <c r="D40" i="8"/>
  <c r="D36" i="8"/>
  <c r="D37" i="8"/>
  <c r="D38" i="8"/>
  <c r="D39" i="8"/>
  <c r="D35" i="8"/>
  <c r="B36" i="8"/>
  <c r="B37" i="8"/>
  <c r="B38" i="8"/>
  <c r="B39" i="8"/>
  <c r="B40" i="8"/>
  <c r="B35" i="8"/>
  <c r="D27" i="8"/>
  <c r="D28" i="8"/>
  <c r="D29" i="8"/>
  <c r="D32" i="8" s="1"/>
  <c r="D30" i="8"/>
  <c r="D31" i="8"/>
  <c r="D26" i="8"/>
  <c r="J74" i="6"/>
  <c r="K74" i="6"/>
  <c r="F74" i="6"/>
  <c r="G74" i="6"/>
  <c r="H74" i="6"/>
  <c r="I74" i="6"/>
  <c r="L74" i="6"/>
  <c r="E74" i="6"/>
  <c r="D19" i="8"/>
  <c r="D20" i="8"/>
  <c r="D21" i="8"/>
  <c r="D22" i="8"/>
  <c r="D23" i="8"/>
  <c r="D18" i="8"/>
  <c r="B19" i="8"/>
  <c r="B20" i="8"/>
  <c r="B21" i="8"/>
  <c r="B22" i="8"/>
  <c r="B23" i="8"/>
  <c r="B18" i="8"/>
  <c r="C19" i="8"/>
  <c r="C20" i="8"/>
  <c r="C21" i="8"/>
  <c r="C22" i="8"/>
  <c r="C23" i="8"/>
  <c r="C18" i="8"/>
  <c r="C6" i="3"/>
  <c r="D6" i="3"/>
  <c r="E6" i="3"/>
  <c r="F6" i="3"/>
  <c r="G6" i="3"/>
  <c r="H6" i="3"/>
  <c r="L6" i="1" s="1"/>
  <c r="L19" i="1" s="1"/>
  <c r="L24" i="1" s="1"/>
  <c r="I6" i="3"/>
  <c r="J6" i="3"/>
  <c r="K6" i="3"/>
  <c r="B6" i="3"/>
  <c r="C5" i="1"/>
  <c r="D5" i="1"/>
  <c r="D6" i="1" s="1"/>
  <c r="D19" i="1" s="1"/>
  <c r="E5" i="1"/>
  <c r="F5" i="1"/>
  <c r="G5" i="1"/>
  <c r="G6" i="1" s="1"/>
  <c r="G19" i="1" s="1"/>
  <c r="H5" i="1"/>
  <c r="I5" i="1"/>
  <c r="J5" i="1"/>
  <c r="K5" i="1"/>
  <c r="B5" i="1"/>
  <c r="K13" i="1"/>
  <c r="J13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F21" i="2" s="1"/>
  <c r="G18" i="2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J4" i="2"/>
  <c r="J5" i="2"/>
  <c r="J23" i="2" s="1"/>
  <c r="K4" i="2"/>
  <c r="C5" i="2"/>
  <c r="D5" i="2"/>
  <c r="F5" i="2"/>
  <c r="F23" i="2" s="1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F4" i="3"/>
  <c r="F14" i="3" s="1"/>
  <c r="G4" i="3"/>
  <c r="H4" i="3"/>
  <c r="L4" i="1" s="1"/>
  <c r="L23" i="1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G4" i="1"/>
  <c r="G20" i="2" s="1"/>
  <c r="H4" i="1"/>
  <c r="I4" i="1"/>
  <c r="J4" i="1"/>
  <c r="J6" i="1" s="1"/>
  <c r="J19" i="1" s="1"/>
  <c r="K4" i="1"/>
  <c r="J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K12" i="1"/>
  <c r="C15" i="1"/>
  <c r="D15" i="1"/>
  <c r="E15" i="1"/>
  <c r="F15" i="1"/>
  <c r="G15" i="1"/>
  <c r="H15" i="1"/>
  <c r="I15" i="1"/>
  <c r="J15" i="1"/>
  <c r="J14" i="1"/>
  <c r="K15" i="1"/>
  <c r="K14" i="1" s="1"/>
  <c r="B15" i="1"/>
  <c r="B7" i="1"/>
  <c r="B4" i="1"/>
  <c r="A1" i="1"/>
  <c r="A1" i="3" s="1"/>
  <c r="E1" i="6"/>
  <c r="H1" i="1" s="1"/>
  <c r="E1" i="2"/>
  <c r="E1" i="3"/>
  <c r="K23" i="2"/>
  <c r="C23" i="2"/>
  <c r="K16" i="2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3" i="3"/>
  <c r="L13" i="1"/>
  <c r="L14" i="1" s="1"/>
  <c r="L25" i="1" s="1"/>
  <c r="L15" i="1"/>
  <c r="B12" i="1"/>
  <c r="B13" i="1" s="1"/>
  <c r="B11" i="1"/>
  <c r="B10" i="1"/>
  <c r="B9" i="1"/>
  <c r="B8" i="1"/>
  <c r="B3" i="1"/>
  <c r="E14" i="3"/>
  <c r="G14" i="3"/>
  <c r="J20" i="2"/>
  <c r="C20" i="2"/>
  <c r="E20" i="2"/>
  <c r="L12" i="1"/>
  <c r="A1" i="2"/>
  <c r="A1" i="4"/>
  <c r="N11" i="1" l="1"/>
  <c r="M11" i="1"/>
  <c r="D24" i="2"/>
  <c r="C24" i="2"/>
  <c r="H23" i="1"/>
  <c r="I14" i="1"/>
  <c r="K25" i="1" s="1"/>
  <c r="M25" i="1" s="1"/>
  <c r="M14" i="1" s="1"/>
  <c r="H14" i="1"/>
  <c r="E16" i="2"/>
  <c r="K24" i="2"/>
  <c r="B14" i="3"/>
  <c r="J24" i="2"/>
  <c r="B20" i="2"/>
  <c r="I24" i="2"/>
  <c r="H24" i="2"/>
  <c r="B23" i="2"/>
  <c r="G24" i="2"/>
  <c r="D13" i="1"/>
  <c r="E13" i="1" s="1"/>
  <c r="B6" i="1"/>
  <c r="B19" i="1" s="1"/>
  <c r="L8" i="1"/>
  <c r="K6" i="1"/>
  <c r="K19" i="1" s="1"/>
  <c r="I23" i="1"/>
  <c r="L7" i="1"/>
  <c r="K20" i="2"/>
  <c r="I6" i="1"/>
  <c r="I19" i="1" s="1"/>
  <c r="J24" i="1" s="1"/>
  <c r="I23" i="2"/>
  <c r="B16" i="2"/>
  <c r="D23" i="2"/>
  <c r="F20" i="2"/>
  <c r="E14" i="1"/>
  <c r="D14" i="1"/>
  <c r="G23" i="2"/>
  <c r="B14" i="1"/>
  <c r="C14" i="3"/>
  <c r="I16" i="2"/>
  <c r="L9" i="1"/>
  <c r="F24" i="2"/>
  <c r="J25" i="1"/>
  <c r="M9" i="1"/>
  <c r="N9" i="1"/>
  <c r="N8" i="1"/>
  <c r="M8" i="1"/>
  <c r="N23" i="1"/>
  <c r="N4" i="1" s="1"/>
  <c r="H25" i="1"/>
  <c r="I25" i="1"/>
  <c r="I20" i="2"/>
  <c r="H20" i="2"/>
  <c r="K23" i="1"/>
  <c r="M23" i="1" s="1"/>
  <c r="M4" i="1" s="1"/>
  <c r="H6" i="1"/>
  <c r="H19" i="1" s="1"/>
  <c r="F6" i="1"/>
  <c r="F19" i="1" s="1"/>
  <c r="E1" i="4"/>
  <c r="N25" i="1" l="1"/>
  <c r="N14" i="1" s="1"/>
  <c r="K24" i="1"/>
  <c r="M24" i="1" s="1"/>
  <c r="I24" i="1"/>
  <c r="H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<sst xmlns="http://schemas.openxmlformats.org/spreadsheetml/2006/main" count="195" uniqueCount="128">
  <si>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</si>
  <si>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</si>
  <si>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</si>
  <si>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</si>
  <si>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</si>
  <si>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</si>
  <si>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</si>
  <si>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</si>
  <si>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</si>
  <si>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</si>
  <si>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</si>
  <si>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</si>
  <si>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</si>
  <si>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</si>
  <si>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</si>
  <si>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</si>
  <si>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</si>
  <si>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</si>
  <si>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</si>
  <si>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</si>
  <si>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</si>
  <si>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</si>
  <si>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</si>
  <si>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</si>
  <si>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</si>
  <si>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</si>
  <si>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</si>
  <si>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</si>
  <si>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</si>
  <si>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</si>
  <si>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</si>
  <si>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</si>
  <si>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</si>
  <si>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</si>
  <si>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</si>
  <si>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</si>
  <si>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</si>
  <si>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</si>
  <si>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</si>
  <si>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</si>
  <si>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</si>
  <si>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</si>
  <si>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</si>
  <si>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</si>
  <si>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</si>
  <si>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</si>
  <si>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</si>
  <si>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</si>
  <si>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</si>
  <si>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</si>
  <si>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</si>
  <si>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</si>
  <si>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</si>
  <si>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</si>
  <si>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</si>
  <si>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</si>
  <si>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</si>
  <si>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</si>
  <si>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</si>
  <si>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</si>
  <si>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</si>
  <si>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</si>
  <si>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</si>
  <si>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</si>
  <si>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</si>
  <si>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</si>
  <si>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</si>
  <si>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</si>
  <si>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</si>
  <si>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</si>
  <si>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</si>
  <si>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</si>
  <si>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</si>
  <si>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</si>
  <si>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</si>
  <si>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</si>
  <si>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</si>
  <si>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</si>
  <si>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</si>
  <si>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</si>
  <si>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</si>
  <si>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Market Price Per Share (₹)</t>
  </si>
  <si>
    <t>Number of Shareholders</t>
  </si>
  <si>
    <t>Capital Employed</t>
  </si>
  <si>
    <t>Net Current Assets</t>
  </si>
  <si>
    <t>Goodwill</t>
  </si>
  <si>
    <t>Property, Plant and Equipment and Intangible Assets (C+D)</t>
  </si>
  <si>
    <t>Intangible Assets (D)</t>
  </si>
  <si>
    <t>Property, Plant and Equipment (C)</t>
  </si>
  <si>
    <t>Net Cash (A-B)</t>
  </si>
  <si>
    <t>Total Debt (B)</t>
  </si>
  <si>
    <t>Gross Cash (A)</t>
  </si>
  <si>
    <t>Net Worth</t>
  </si>
  <si>
    <t>Share Capital</t>
  </si>
  <si>
    <t>Earnings Per Share - Diluted (₹)</t>
  </si>
  <si>
    <t>Earnings Per Share - Basic (₹)</t>
  </si>
  <si>
    <t>Profit after Tax - attributable to equity holders</t>
  </si>
  <si>
    <t>Profit before Tax</t>
  </si>
  <si>
    <t>Profit before Interest and Tax</t>
  </si>
  <si>
    <t>Depreciation and Amortisation</t>
  </si>
  <si>
    <t>Profit before Depreciation, Amortisation, Interest and Tax</t>
  </si>
  <si>
    <t>Revenue</t>
  </si>
  <si>
    <t>2024-25</t>
  </si>
  <si>
    <t>2023-24</t>
  </si>
  <si>
    <t>2022-23</t>
  </si>
  <si>
    <t>2021-22</t>
  </si>
  <si>
    <t>2020-21</t>
  </si>
  <si>
    <t>Particulars</t>
  </si>
  <si>
    <t>Year</t>
  </si>
  <si>
    <t>Net Profit</t>
  </si>
  <si>
    <t>Shareholders’ Equity</t>
  </si>
  <si>
    <t>Net Profit Margin (%)</t>
  </si>
  <si>
    <t>Operating Margin (%)</t>
  </si>
  <si>
    <t>ROE (%)</t>
  </si>
  <si>
    <t>YEAR</t>
  </si>
  <si>
    <t>CURRENT ASSETS (Cr.)</t>
  </si>
  <si>
    <t>CURRENT LIABILITIES (Cr.)</t>
  </si>
  <si>
    <t>CURRENT RATIO</t>
  </si>
  <si>
    <t>Average</t>
  </si>
  <si>
    <t>Quick Assets (Cr.)</t>
  </si>
  <si>
    <t>Current Liabilities (Cr.)</t>
  </si>
  <si>
    <t>Quick Ratio</t>
  </si>
  <si>
    <t>Total Debt (Cr.)</t>
  </si>
  <si>
    <t>Shareholders’ Equity (Cr.)</t>
  </si>
  <si>
    <t>Debt–Equity Ratio</t>
  </si>
  <si>
    <t>Operating Profit (EBIT)</t>
  </si>
  <si>
    <t>Interest Expense</t>
  </si>
  <si>
    <t>Interest Coverage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</si>
</sst>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43" fontId="2" fillId="0" borderId="0" xfId="1" applyFont="1" applyBorder="1"/>
    <xf numFmtId="0" fontId="2" fillId="0" borderId="0" xfId="0" applyFont="1"/>
    <xf numFmtId="0" fontId="7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8" fillId="0" borderId="0" xfId="1" applyNumberFormat="1" applyFont="1" applyFill="1" applyBorder="1"/>
    <xf numFmtId="0" fontId="8" fillId="0" borderId="0" xfId="0" applyFont="1"/>
    <xf numFmtId="164" fontId="0" fillId="0" borderId="0" xfId="1" applyNumberFormat="1" applyFont="1" applyBorder="1"/>
    <xf numFmtId="0" fontId="1" fillId="0" borderId="0" xfId="7"/>
    <xf numFmtId="0" fontId="1" fillId="6" borderId="0" xfId="7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66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0" fontId="0" fillId="0" borderId="1" xfId="6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2" fillId="0" borderId="1" xfId="0" applyFont="1" applyBorder="1"/>
    <xf numFmtId="166" fontId="0" fillId="0" borderId="1" xfId="0" applyNumberFormat="1" applyBorder="1"/>
    <xf numFmtId="0" fontId="0" fillId="0" borderId="3" xfId="0" applyBorder="1" applyAlignment="1">
      <alignment vertical="center" wrapText="1"/>
    </xf>
    <xf numFmtId="0" fontId="0" fillId="0" borderId="4" xfId="0" applyBorder="1"/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2DE2F791-4EA8-41BD-AE1B-AC279F5AEA90}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D0D2B878-6409-44A6-9302-2CA29245D8DE}"/>
  </tableStyles>
  <colors>
    <mruColors>
      <color rgb="FFFFCC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Analysis!$B$2:$B$7</c:f>
              <c:numCache>
                <c:formatCode>General</c:formatCode>
                <c:ptCount val="6"/>
                <c:pt idx="0">
                  <c:v>61137.599999999999</c:v>
                </c:pt>
                <c:pt idx="1">
                  <c:v>61934.9</c:v>
                </c:pt>
                <c:pt idx="2">
                  <c:v>79312</c:v>
                </c:pt>
                <c:pt idx="3">
                  <c:v>90487.6</c:v>
                </c:pt>
                <c:pt idx="4">
                  <c:v>89760.3</c:v>
                </c:pt>
                <c:pt idx="5">
                  <c:v>89088.4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2-4BEE-90C6-CED298D3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703279"/>
        <c:axId val="1115701359"/>
      </c:lineChart>
      <c:catAx>
        <c:axId val="111570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01359"/>
        <c:crosses val="autoZero"/>
        <c:auto val="1"/>
        <c:lblAlgn val="ctr"/>
        <c:lblOffset val="100"/>
        <c:noMultiLvlLbl val="0"/>
      </c:catAx>
      <c:valAx>
        <c:axId val="11157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Analysis!$C$2:$C$7</c:f>
              <c:numCache>
                <c:formatCode>General</c:formatCode>
                <c:ptCount val="6"/>
                <c:pt idx="0">
                  <c:v>12342.300000000003</c:v>
                </c:pt>
                <c:pt idx="1">
                  <c:v>14771.400000000009</c:v>
                </c:pt>
                <c:pt idx="2">
                  <c:v>16684.199999999997</c:v>
                </c:pt>
                <c:pt idx="3">
                  <c:v>16839.000000000015</c:v>
                </c:pt>
                <c:pt idx="4">
                  <c:v>16752.499999999985</c:v>
                </c:pt>
                <c:pt idx="5">
                  <c:v>18021.199999999997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8-486C-861C-4C0B82769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064687"/>
        <c:axId val="1111065167"/>
      </c:lineChart>
      <c:catAx>
        <c:axId val="11110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65167"/>
        <c:crosses val="autoZero"/>
        <c:auto val="1"/>
        <c:lblAlgn val="ctr"/>
        <c:lblOffset val="100"/>
        <c:noMultiLvlLbl val="0"/>
      </c:catAx>
      <c:valAx>
        <c:axId val="111106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6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</a:t>
            </a:r>
            <a:r>
              <a:rPr lang="en-IN"/>
              <a:t>and Net profit Trend analysis</a:t>
            </a:r>
          </a:p>
        </c:rich>
      </c:tx>
      <c:layout>
        <c:manualLayout>
          <c:xMode val="edge"/>
          <c:yMode val="edge"/>
          <c:x val="0.2783487935612276"/>
          <c:y val="3.4063264691235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02815"/>
        <c:axId val="111040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Analysis!$A$2:$A$7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8EA-4245-884C-BA96A1DD41E0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1"/>
          <c:order val="1"/>
          <c:tx>
            <c:strRef>
              <c:f>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Analysis!$B$2:$B$7</c:f>
              <c:numCache>
                <c:formatCode>General</c:formatCode>
                <c:ptCount val="6"/>
                <c:pt idx="0">
                  <c:v>61137.599999999999</c:v>
                </c:pt>
                <c:pt idx="1">
                  <c:v>61934.9</c:v>
                </c:pt>
                <c:pt idx="2">
                  <c:v>79312</c:v>
                </c:pt>
                <c:pt idx="3">
                  <c:v>90487.6</c:v>
                </c:pt>
                <c:pt idx="4">
                  <c:v>89760.3</c:v>
                </c:pt>
                <c:pt idx="5">
                  <c:v>89088.4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A-4245-884C-BA96A1DD4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358671"/>
        <c:axId val="1198628719"/>
      </c:barChart>
      <c:lineChart>
        <c:grouping val="standard"/>
        <c:varyColors val="0"/>
        <c:ser>
          <c:idx val="2"/>
          <c:order val="2"/>
          <c:tx>
            <c:strRef>
              <c:f>Analysis!$D$1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"/>
              <c:pt idx="0">
                <c:v>2021</c:v>
              </c:pt>
            </c:numLit>
          </c:cat>
          <c:val>
            <c:numRef>
              <c:f>Analysis!$D$2:$D$7</c:f>
              <c:numCache>
                <c:formatCode>General</c:formatCode>
                <c:ptCount val="6"/>
                <c:pt idx="0">
                  <c:v>9722.2999999999993</c:v>
                </c:pt>
                <c:pt idx="1">
                  <c:v>10796.4</c:v>
                </c:pt>
                <c:pt idx="2">
                  <c:v>12229.6</c:v>
                </c:pt>
                <c:pt idx="3">
                  <c:v>11350</c:v>
                </c:pt>
                <c:pt idx="4">
                  <c:v>11045.2</c:v>
                </c:pt>
                <c:pt idx="5">
                  <c:v>13135.4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A-4245-884C-BA96A1DD4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402815"/>
        <c:axId val="1110403295"/>
      </c:lineChart>
      <c:catAx>
        <c:axId val="1110402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10403295"/>
        <c:crosses val="autoZero"/>
        <c:auto val="1"/>
        <c:lblAlgn val="ctr"/>
        <c:lblOffset val="100"/>
        <c:noMultiLvlLbl val="0"/>
      </c:catAx>
      <c:valAx>
        <c:axId val="111040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02815"/>
        <c:crosses val="autoZero"/>
        <c:crossBetween val="between"/>
      </c:valAx>
      <c:valAx>
        <c:axId val="119862871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9358671"/>
        <c:crosses val="max"/>
        <c:crossBetween val="between"/>
      </c:valAx>
      <c:catAx>
        <c:axId val="1199358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19862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Profitability Ratio Analysis of Wipro Ltd. (2020–2025)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Net Profit Margin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Analysis!$A$18:$A$23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Analysis!$B$18:$B$23</c:f>
              <c:numCache>
                <c:formatCode>0.00%</c:formatCode>
                <c:ptCount val="6"/>
                <c:pt idx="0">
                  <c:v>0.15902325246656721</c:v>
                </c:pt>
                <c:pt idx="1">
                  <c:v>0.17431851831519868</c:v>
                </c:pt>
                <c:pt idx="2">
                  <c:v>0.15419608634254589</c:v>
                </c:pt>
                <c:pt idx="3">
                  <c:v>0.12543155084232535</c:v>
                </c:pt>
                <c:pt idx="4">
                  <c:v>0.12305217339959872</c:v>
                </c:pt>
                <c:pt idx="5">
                  <c:v>0.14744231572236116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6-4498-82EF-DB6379DE3CB6}"/>
            </c:ext>
          </c:extLst>
        </c:ser>
        <c:ser>
          <c:idx val="1"/>
          <c:order val="1"/>
          <c:tx>
            <c:strRef>
              <c:f>Analysis!$C$17</c:f>
              <c:strCache>
                <c:ptCount val="1"/>
                <c:pt idx="0">
                  <c:v>Operating Margin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Analysis!$A$18:$A$23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Analysis!$C$18:$C$23</c:f>
              <c:numCache>
                <c:formatCode>0.00%</c:formatCode>
                <c:ptCount val="6"/>
                <c:pt idx="0">
                  <c:v>0.20187740441234206</c:v>
                </c:pt>
                <c:pt idx="1">
                  <c:v>0.2384988108481649</c:v>
                </c:pt>
                <c:pt idx="2">
                  <c:v>0.21036160984466407</c:v>
                </c:pt>
                <c:pt idx="3">
                  <c:v>0.18609179600298839</c:v>
                </c:pt>
                <c:pt idx="4">
                  <c:v>0.18663596266946506</c:v>
                </c:pt>
                <c:pt idx="5">
                  <c:v>0.20228447250147044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6-4498-82EF-DB6379DE3CB6}"/>
            </c:ext>
          </c:extLst>
        </c:ser>
        <c:ser>
          <c:idx val="2"/>
          <c:order val="2"/>
          <c:tx>
            <c:strRef>
              <c:f>Analysis!$D$17</c:f>
              <c:strCache>
                <c:ptCount val="1"/>
                <c:pt idx="0">
                  <c:v>ROE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Analysis!$A$18:$A$23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Analysis!$D$18:$D$23</c:f>
              <c:numCache>
                <c:formatCode>0.00%</c:formatCode>
                <c:ptCount val="6"/>
                <c:pt idx="0">
                  <c:v>0.17574116485935898</c:v>
                </c:pt>
                <c:pt idx="1">
                  <c:v>0.196652155698439</c:v>
                </c:pt>
                <c:pt idx="2">
                  <c:v>0.18698836444811401</c:v>
                </c:pt>
                <c:pt idx="3">
                  <c:v>0.14613501845678845</c:v>
                </c:pt>
                <c:pt idx="4">
                  <c:v>0.14729231093383902</c:v>
                </c:pt>
                <c:pt idx="5">
                  <c:v>0.15858091605910354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6-4498-82EF-DB6379DE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13151"/>
        <c:axId val="1181116927"/>
      </c:barChart>
      <c:catAx>
        <c:axId val="2159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16927"/>
        <c:crosses val="autoZero"/>
        <c:auto val="1"/>
        <c:lblAlgn val="ctr"/>
        <c:lblOffset val="100"/>
        <c:noMultiLvlLbl val="0"/>
      </c:catAx>
      <c:valAx>
        <c:axId val="118111692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Debt–Equity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Analysis!$B$43</c:f>
              <c:strCache>
                <c:ptCount val="1"/>
                <c:pt idx="0">
                  <c:v>Total Debt (Cr.)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Analysis!$A$44:$A$49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Analysis!$B$44:$B$49</c:f>
              <c:numCache>
                <c:formatCode>General</c:formatCode>
                <c:ptCount val="6"/>
                <c:pt idx="0">
                  <c:v>9724</c:v>
                </c:pt>
                <c:pt idx="1">
                  <c:v>10451.4</c:v>
                </c:pt>
                <c:pt idx="2">
                  <c:v>17592.900000000001</c:v>
                </c:pt>
                <c:pt idx="3">
                  <c:v>17466.599999999999</c:v>
                </c:pt>
                <c:pt idx="4">
                  <c:v>16464.900000000001</c:v>
                </c:pt>
                <c:pt idx="5">
                  <c:v>19203.5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9-4089-AF4A-0CAA1DD9D8AA}"/>
            </c:ext>
          </c:extLst>
        </c:ser>
        <c:ser>
          <c:idx val="1"/>
          <c:order val="1"/>
          <c:tx>
            <c:strRef>
              <c:f>Analysis!$C$43</c:f>
              <c:strCache>
                <c:ptCount val="1"/>
                <c:pt idx="0">
                  <c:v>Shareholders’ Equity (Cr.)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Analysis!$A$44:$A$49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Analysis!$C$44:$C$49</c:f>
              <c:numCache>
                <c:formatCode>General</c:formatCode>
                <c:ptCount val="6"/>
                <c:pt idx="0">
                  <c:v>55321.7</c:v>
                </c:pt>
                <c:pt idx="1">
                  <c:v>54901</c:v>
                </c:pt>
                <c:pt idx="2">
                  <c:v>65403</c:v>
                </c:pt>
                <c:pt idx="3">
                  <c:v>77667.900000000009</c:v>
                </c:pt>
                <c:pt idx="4">
                  <c:v>74988.3</c:v>
                </c:pt>
                <c:pt idx="5">
                  <c:v>82830.899999999994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9-4089-AF4A-0CAA1DD9D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602000"/>
        <c:axId val="1938602480"/>
      </c:barChart>
      <c:catAx>
        <c:axId val="19386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02480"/>
        <c:crosses val="autoZero"/>
        <c:auto val="1"/>
        <c:lblAlgn val="ctr"/>
        <c:lblOffset val="100"/>
        <c:noMultiLvlLbl val="0"/>
      </c:catAx>
      <c:valAx>
        <c:axId val="193860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508907</xdr:colOff>
      <xdr:row>0</xdr:row>
      <xdr:rowOff>84364</xdr:rowOff>
    </xdr:from>
    <xdr:to>
      <xdr:col>18</xdr:col>
      <xdr:colOff>508907</xdr:colOff>
      <xdr:row>14</xdr:row>
      <xdr:rowOff>51707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57E02-5537-3E22-8931-B169B6360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302078</xdr:colOff>
      <xdr:row>0</xdr:row>
      <xdr:rowOff>127906</xdr:rowOff>
    </xdr:from>
    <xdr:to>
      <xdr:col>18</xdr:col>
      <xdr:colOff>302078</xdr:colOff>
      <xdr:row>14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74EC6-17AD-F642-5D1C-150082C7E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312964</xdr:colOff>
      <xdr:row>0</xdr:row>
      <xdr:rowOff>111578</xdr:rowOff>
    </xdr:from>
    <xdr:to>
      <xdr:col>20</xdr:col>
      <xdr:colOff>571500</xdr:colOff>
      <xdr:row>17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D729F1-9E7B-73AD-E0CB-C7C679878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70756</xdr:colOff>
      <xdr:row>18</xdr:row>
      <xdr:rowOff>127907</xdr:rowOff>
    </xdr:from>
    <xdr:to>
      <xdr:col>14</xdr:col>
      <xdr:colOff>70756</xdr:colOff>
      <xdr:row>32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9BA4F-E111-F904-ADAF-734AAEB6E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889907</xdr:colOff>
      <xdr:row>37</xdr:row>
      <xdr:rowOff>78921</xdr:rowOff>
    </xdr:from>
    <xdr:to>
      <xdr:col>10</xdr:col>
      <xdr:colOff>557892</xdr:colOff>
      <xdr:row>51</xdr:row>
      <xdr:rowOff>46264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779C51-02BA-1CC0-0539-82A6FC7A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0.11929</cdr:x>
      <cdr:y>0.3674</cdr:y>
    </cdr:from>
    <cdr:to>
      <cdr:x>0.24612</cdr:x>
      <cdr:y>0.43228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CC28D48-0CBF-4134-9BBA-3CB60710702E}"/>
            </a:ext>
          </a:extLst>
        </cdr:cNvPr>
        <cdr:cNvSpPr txBox="1"/>
      </cdr:nvSpPr>
      <cdr:spPr>
        <a:xfrm xmlns:a="http://schemas.openxmlformats.org/drawingml/2006/main">
          <a:off x="732065" y="1232808"/>
          <a:ext cx="778328" cy="2177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2020</a:t>
          </a:r>
        </a:p>
      </cdr:txBody>
    </cdr:sp>
  </cdr:relSizeAnchor>
  <cdr:relSizeAnchor xmlns:cdr="http://schemas.openxmlformats.org/drawingml/2006/chartDrawing">
    <cdr:from>
      <cdr:x>0.28248</cdr:x>
      <cdr:y>0.36253</cdr:y>
    </cdr:from>
    <cdr:to>
      <cdr:x>0.36585</cdr:x>
      <cdr:y>0.43877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1948DFA-3F11-E5A0-B574-F9344D13B572}"/>
            </a:ext>
          </a:extLst>
        </cdr:cNvPr>
        <cdr:cNvSpPr txBox="1"/>
      </cdr:nvSpPr>
      <cdr:spPr>
        <a:xfrm xmlns:a="http://schemas.openxmlformats.org/drawingml/2006/main">
          <a:off x="1733551" y="1216480"/>
          <a:ext cx="511628" cy="2558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2021</a:t>
          </a:r>
        </a:p>
      </cdr:txBody>
    </cdr:sp>
  </cdr:relSizeAnchor>
  <cdr:relSizeAnchor xmlns:cdr="http://schemas.openxmlformats.org/drawingml/2006/chartDrawing">
    <cdr:from>
      <cdr:x>0.42173</cdr:x>
      <cdr:y>0.23114</cdr:y>
    </cdr:from>
    <cdr:to>
      <cdr:x>0.52816</cdr:x>
      <cdr:y>0.28143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BABF9FB-8A20-0D14-8543-8B1C69542F97}"/>
            </a:ext>
          </a:extLst>
        </cdr:cNvPr>
        <cdr:cNvSpPr txBox="1"/>
      </cdr:nvSpPr>
      <cdr:spPr>
        <a:xfrm xmlns:a="http://schemas.openxmlformats.org/drawingml/2006/main">
          <a:off x="2588079" y="775607"/>
          <a:ext cx="653143" cy="168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2022</a:t>
          </a:r>
        </a:p>
      </cdr:txBody>
    </cdr:sp>
  </cdr:relSizeAnchor>
  <cdr:relSizeAnchor xmlns:cdr="http://schemas.openxmlformats.org/drawingml/2006/chartDrawing">
    <cdr:from>
      <cdr:x>0.56718</cdr:x>
      <cdr:y>0.14842</cdr:y>
    </cdr:from>
    <cdr:to>
      <cdr:x>0.68958</cdr:x>
      <cdr:y>0.23601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DDFA27A-CF81-A12A-8DA0-1011CD63A882}"/>
            </a:ext>
          </a:extLst>
        </cdr:cNvPr>
        <cdr:cNvSpPr txBox="1"/>
      </cdr:nvSpPr>
      <cdr:spPr>
        <a:xfrm xmlns:a="http://schemas.openxmlformats.org/drawingml/2006/main">
          <a:off x="3480708" y="498023"/>
          <a:ext cx="751115" cy="293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0.72151</cdr:x>
      <cdr:y>0.15491</cdr:y>
    </cdr:from>
    <cdr:to>
      <cdr:x>0.8031</cdr:x>
      <cdr:y>0.2133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4047908-456C-7FD5-D317-507BC5BA8198}"/>
            </a:ext>
          </a:extLst>
        </cdr:cNvPr>
        <cdr:cNvSpPr txBox="1"/>
      </cdr:nvSpPr>
      <cdr:spPr>
        <a:xfrm xmlns:a="http://schemas.openxmlformats.org/drawingml/2006/main">
          <a:off x="4427765" y="519794"/>
          <a:ext cx="500743" cy="1959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0.86696</cdr:x>
      <cdr:y>0.16464</cdr:y>
    </cdr:from>
    <cdr:to>
      <cdr:x>0.96896</cdr:x>
      <cdr:y>0.25547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6382F3F-F19D-2260-99AD-6E48FF8E2DB6}"/>
            </a:ext>
          </a:extLst>
        </cdr:cNvPr>
        <cdr:cNvSpPr txBox="1"/>
      </cdr:nvSpPr>
      <cdr:spPr>
        <a:xfrm xmlns:a="http://schemas.openxmlformats.org/drawingml/2006/main">
          <a:off x="5320393" y="552451"/>
          <a:ext cx="625929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2025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20" activePane="bottomRight" state="frozen"/>
      <selection activeCell="I2" sqref="I2"/>
      <selection pane="topRight" activeCell="I2" sqref="I2"/>
      <selection pane="bottomLeft" activeCell="I2" sqref="I2"/>
      <selection pane="bottomRight" activeCell="F4" sqref="F4:K4"/>
    </sheetView>
  </sheetViews>
  <sheetFormatPr defaultColWidth="8.84375" defaultRowHeight="14.6" x14ac:dyDescent="0.4"/>
  <cols>
    <col min="1" max="1" width="20.69140625" customWidth="1"/>
    <col min="2" max="6" width="13.4609375" customWidth="1"/>
    <col min="7" max="7" width="14.84375" bestFit="1" customWidth="1"/>
    <col min="8" max="11" width="13.4609375" customWidth="1"/>
    <col min="12" max="12" width="13.3046875" customWidth="1"/>
    <col min="13" max="14" width="12.15234375" customWidth="1"/>
  </cols>
  <sheetData>
    <row r="1" spans="1:14" s="2" customFormat="1" x14ac:dyDescent="0.4">
      <c r="A1" s="2" t="str">
        <f>'Data Sheet'!B1</f>
        <v>WIPRO LTD</v>
      </c>
      <c r="H1" t="str">
        <f>UPDATE</f>
        <v/>
      </c>
      <c r="J1" s="3"/>
      <c r="K1" s="3"/>
      <c r="M1" s="2" t="s">
        <v>1</v>
      </c>
    </row>
    <row r="3" spans="1:14" s="2" customFormat="1" x14ac:dyDescent="0.4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4">
      <c r="A4" s="2" t="s">
        <v>6</v>
      </c>
      <c r="B4" s="1">
        <f>'Data Sheet'!B17</f>
        <v>51244</v>
      </c>
      <c r="C4" s="1">
        <f>'Data Sheet'!C17</f>
        <v>55448.4</v>
      </c>
      <c r="D4" s="1">
        <f>'Data Sheet'!D17</f>
        <v>54487.1</v>
      </c>
      <c r="E4" s="1">
        <f>'Data Sheet'!E17</f>
        <v>59018.9</v>
      </c>
      <c r="F4" s="1">
        <f>'Data Sheet'!F17</f>
        <v>61137.599999999999</v>
      </c>
      <c r="G4" s="1">
        <f>'Data Sheet'!G17</f>
        <v>61934.9</v>
      </c>
      <c r="H4" s="1">
        <f>'Data Sheet'!H17</f>
        <v>79312</v>
      </c>
      <c r="I4" s="1">
        <f>'Data Sheet'!I17</f>
        <v>90487.6</v>
      </c>
      <c r="J4" s="1">
        <f>'Data Sheet'!J17</f>
        <v>89760.3</v>
      </c>
      <c r="K4" s="1">
        <f>'Data Sheet'!K17</f>
        <v>89088.4</v>
      </c>
      <c r="L4" s="1">
        <f>SUM(Quarters!H4:K4)</f>
        <v>89654.900000000009</v>
      </c>
      <c r="M4" s="1">
        <f>$K4+M23*K4</f>
        <v>92608.01563569282</v>
      </c>
      <c r="N4" s="1">
        <f>$K4+N23*L4</f>
        <v>89658.502289972661</v>
      </c>
    </row>
    <row r="5" spans="1:14" x14ac:dyDescent="0.4">
      <c r="A5" t="s">
        <v>7</v>
      </c>
      <c r="B5" s="6">
        <f>SUM('Data Sheet'!B18,'Data Sheet'!B20:B24, -1*'Data Sheet'!B19)</f>
        <v>40448.199999999997</v>
      </c>
      <c r="C5" s="6">
        <f>SUM('Data Sheet'!C18,'Data Sheet'!C20:C24, -1*'Data Sheet'!C19)</f>
        <v>44127.5</v>
      </c>
      <c r="D5" s="6">
        <f>SUM('Data Sheet'!D18,'Data Sheet'!D20:D24, -1*'Data Sheet'!D19)</f>
        <v>44100</v>
      </c>
      <c r="E5" s="6">
        <f>SUM('Data Sheet'!E18,'Data Sheet'!E20:E24, -1*'Data Sheet'!E19)</f>
        <v>47406.299999999996</v>
      </c>
      <c r="F5" s="6">
        <f>SUM('Data Sheet'!F18,'Data Sheet'!F20:F24, -1*'Data Sheet'!F19)</f>
        <v>48795.299999999996</v>
      </c>
      <c r="G5" s="6">
        <f>SUM('Data Sheet'!G18,'Data Sheet'!G20:G24, -1*'Data Sheet'!G19)</f>
        <v>47163.499999999993</v>
      </c>
      <c r="H5" s="6">
        <f>SUM('Data Sheet'!H18,'Data Sheet'!H20:H24, -1*'Data Sheet'!H19)</f>
        <v>62627.8</v>
      </c>
      <c r="I5" s="6">
        <f>SUM('Data Sheet'!I18,'Data Sheet'!I20:I24, -1*'Data Sheet'!I19)</f>
        <v>73648.599999999991</v>
      </c>
      <c r="J5" s="6">
        <f>SUM('Data Sheet'!J18,'Data Sheet'!J20:J24, -1*'Data Sheet'!J19)</f>
        <v>73007.800000000017</v>
      </c>
      <c r="K5" s="6">
        <f>SUM('Data Sheet'!K18,'Data Sheet'!K20:K24, -1*'Data Sheet'!K19)</f>
        <v>71067.199999999997</v>
      </c>
      <c r="L5" s="6">
        <f>SUM(Quarters!H5:K5)</f>
        <v>71885.600000000006</v>
      </c>
      <c r="M5" s="6">
        <f t="shared" ref="M5:N5" si="0">M4-M6</f>
        <v>74253.418037175434</v>
      </c>
      <c r="N5" s="6">
        <f t="shared" si="0"/>
        <v>72477.315123067674</v>
      </c>
    </row>
    <row r="6" spans="1:14" s="2" customFormat="1" x14ac:dyDescent="0.4">
      <c r="A6" s="2" t="s">
        <v>8</v>
      </c>
      <c r="B6" s="1">
        <f>B4-B5</f>
        <v>10795.800000000003</v>
      </c>
      <c r="C6" s="1">
        <f t="shared" ref="C6:K6" si="1">C4-C5</f>
        <v>11320.900000000001</v>
      </c>
      <c r="D6" s="1">
        <f t="shared" si="1"/>
        <v>10387.099999999999</v>
      </c>
      <c r="E6" s="1">
        <f t="shared" si="1"/>
        <v>11612.600000000006</v>
      </c>
      <c r="F6" s="1">
        <f t="shared" si="1"/>
        <v>12342.300000000003</v>
      </c>
      <c r="G6" s="1">
        <f t="shared" si="1"/>
        <v>14771.400000000009</v>
      </c>
      <c r="H6" s="1">
        <f t="shared" si="1"/>
        <v>16684.199999999997</v>
      </c>
      <c r="I6" s="1">
        <f t="shared" si="1"/>
        <v>16839.000000000015</v>
      </c>
      <c r="J6" s="1">
        <f t="shared" si="1"/>
        <v>16752.499999999985</v>
      </c>
      <c r="K6" s="1">
        <f t="shared" si="1"/>
        <v>18021.199999999997</v>
      </c>
      <c r="L6" s="1">
        <f>SUM(Quarters!H6:K6)</f>
        <v>17769.3</v>
      </c>
      <c r="M6" s="1">
        <f>M4*M24</f>
        <v>18354.597598517383</v>
      </c>
      <c r="N6" s="1">
        <f>N4*N24</f>
        <v>17181.187166904983</v>
      </c>
    </row>
    <row r="7" spans="1:14" x14ac:dyDescent="0.4">
      <c r="A7" t="s">
        <v>9</v>
      </c>
      <c r="B7" s="6">
        <f>'Data Sheet'!B25</f>
        <v>2752.2</v>
      </c>
      <c r="C7" s="6">
        <f>'Data Sheet'!C25</f>
        <v>2622.6</v>
      </c>
      <c r="D7" s="6">
        <f>'Data Sheet'!D25</f>
        <v>2549.8000000000002</v>
      </c>
      <c r="E7" s="6">
        <f>'Data Sheet'!E25</f>
        <v>2613.8000000000002</v>
      </c>
      <c r="F7" s="6">
        <f>'Data Sheet'!F25</f>
        <v>2727.9</v>
      </c>
      <c r="G7" s="6">
        <f>'Data Sheet'!G25</f>
        <v>2403.6999999999998</v>
      </c>
      <c r="H7" s="6">
        <f>'Data Sheet'!H25</f>
        <v>2066.9</v>
      </c>
      <c r="I7" s="6">
        <f>'Data Sheet'!I25</f>
        <v>2274.6</v>
      </c>
      <c r="J7" s="6">
        <f>'Data Sheet'!J25</f>
        <v>2630.8</v>
      </c>
      <c r="K7" s="6">
        <f>'Data Sheet'!K25</f>
        <v>3909.4</v>
      </c>
      <c r="L7" s="6">
        <f>SUM(Quarters!H7:K7)</f>
        <v>4256.3999999999996</v>
      </c>
      <c r="M7" s="6">
        <v>0</v>
      </c>
      <c r="N7" s="6">
        <v>0</v>
      </c>
    </row>
    <row r="8" spans="1:14" x14ac:dyDescent="0.4">
      <c r="A8" t="s">
        <v>10</v>
      </c>
      <c r="B8" s="6">
        <f>'Data Sheet'!B26</f>
        <v>1496.1</v>
      </c>
      <c r="C8" s="6">
        <f>'Data Sheet'!C26</f>
        <v>2310</v>
      </c>
      <c r="D8" s="6">
        <f>'Data Sheet'!D26</f>
        <v>2111.6999999999998</v>
      </c>
      <c r="E8" s="6">
        <f>'Data Sheet'!E26</f>
        <v>1946.7</v>
      </c>
      <c r="F8" s="6">
        <f>'Data Sheet'!F26</f>
        <v>2085.5</v>
      </c>
      <c r="G8" s="6">
        <f>'Data Sheet'!G26</f>
        <v>2763.4</v>
      </c>
      <c r="H8" s="6">
        <f>'Data Sheet'!H26</f>
        <v>3077.8</v>
      </c>
      <c r="I8" s="6">
        <f>'Data Sheet'!I26</f>
        <v>3340.2</v>
      </c>
      <c r="J8" s="6">
        <f>'Data Sheet'!J26</f>
        <v>3407.1</v>
      </c>
      <c r="K8" s="6">
        <f>'Data Sheet'!K26</f>
        <v>2957.9</v>
      </c>
      <c r="L8" s="6">
        <f>SUM(Quarters!H8:K8)</f>
        <v>2775.3999999999996</v>
      </c>
      <c r="M8" s="6">
        <f>+$L8</f>
        <v>2775.3999999999996</v>
      </c>
      <c r="N8" s="6">
        <f>+$L8</f>
        <v>2775.3999999999996</v>
      </c>
    </row>
    <row r="9" spans="1:14" x14ac:dyDescent="0.4">
      <c r="A9" t="s">
        <v>11</v>
      </c>
      <c r="B9" s="6">
        <f>'Data Sheet'!B27</f>
        <v>558.20000000000005</v>
      </c>
      <c r="C9" s="6">
        <f>'Data Sheet'!C27</f>
        <v>594.20000000000005</v>
      </c>
      <c r="D9" s="6">
        <f>'Data Sheet'!D27</f>
        <v>583</v>
      </c>
      <c r="E9" s="6">
        <f>'Data Sheet'!E27</f>
        <v>737.5</v>
      </c>
      <c r="F9" s="6">
        <f>'Data Sheet'!F27</f>
        <v>732.8</v>
      </c>
      <c r="G9" s="6">
        <f>'Data Sheet'!G27</f>
        <v>508.8</v>
      </c>
      <c r="H9" s="6">
        <f>'Data Sheet'!H27</f>
        <v>532.5</v>
      </c>
      <c r="I9" s="6">
        <f>'Data Sheet'!I27</f>
        <v>1007.7</v>
      </c>
      <c r="J9" s="6">
        <f>'Data Sheet'!J27</f>
        <v>1255.2</v>
      </c>
      <c r="K9" s="6">
        <f>'Data Sheet'!K27</f>
        <v>1477</v>
      </c>
      <c r="L9" s="6">
        <f>SUM(Quarters!H9:K9)</f>
        <v>1513.3</v>
      </c>
      <c r="M9" s="6">
        <f>+$L9</f>
        <v>1513.3</v>
      </c>
      <c r="N9" s="6">
        <f>+$L9</f>
        <v>1513.3</v>
      </c>
    </row>
    <row r="10" spans="1:14" x14ac:dyDescent="0.4">
      <c r="A10" t="s">
        <v>12</v>
      </c>
      <c r="B10" s="6">
        <f>'Data Sheet'!B28</f>
        <v>11493.7</v>
      </c>
      <c r="C10" s="6">
        <f>'Data Sheet'!C28</f>
        <v>11039.3</v>
      </c>
      <c r="D10" s="6">
        <f>'Data Sheet'!D28</f>
        <v>10242.200000000001</v>
      </c>
      <c r="E10" s="6">
        <f>'Data Sheet'!E28</f>
        <v>11542.2</v>
      </c>
      <c r="F10" s="6">
        <f>'Data Sheet'!F28</f>
        <v>12251.9</v>
      </c>
      <c r="G10" s="6">
        <f>'Data Sheet'!G28</f>
        <v>13902.9</v>
      </c>
      <c r="H10" s="6">
        <f>'Data Sheet'!H28</f>
        <v>15140.8</v>
      </c>
      <c r="I10" s="6">
        <f>'Data Sheet'!I28</f>
        <v>14765.7</v>
      </c>
      <c r="J10" s="6">
        <f>'Data Sheet'!J28</f>
        <v>14721</v>
      </c>
      <c r="K10" s="6">
        <f>'Data Sheet'!K28</f>
        <v>17495.7</v>
      </c>
      <c r="L10" s="6">
        <f>SUM(Quarters!H10:K10)</f>
        <v>17737</v>
      </c>
      <c r="M10" s="6">
        <f>M6+M7-SUM(M8:M9)</f>
        <v>14065.897598517382</v>
      </c>
      <c r="N10" s="6">
        <f>N6+N7-SUM(N8:N9)</f>
        <v>12892.487166904983</v>
      </c>
    </row>
    <row r="11" spans="1:14" x14ac:dyDescent="0.4">
      <c r="A11" t="s">
        <v>13</v>
      </c>
      <c r="B11" s="6">
        <f>'Data Sheet'!B29</f>
        <v>2536.6</v>
      </c>
      <c r="C11" s="6">
        <f>'Data Sheet'!C29</f>
        <v>2521.4</v>
      </c>
      <c r="D11" s="6">
        <f>'Data Sheet'!D29</f>
        <v>2239.1</v>
      </c>
      <c r="E11" s="6">
        <f>'Data Sheet'!E29</f>
        <v>2524.3000000000002</v>
      </c>
      <c r="F11" s="6">
        <f>'Data Sheet'!F29</f>
        <v>2480.1</v>
      </c>
      <c r="G11" s="6">
        <f>'Data Sheet'!G29</f>
        <v>3034.9</v>
      </c>
      <c r="H11" s="6">
        <f>'Data Sheet'!H29</f>
        <v>2897.4</v>
      </c>
      <c r="I11" s="6">
        <f>'Data Sheet'!I29</f>
        <v>3399.2</v>
      </c>
      <c r="J11" s="6">
        <f>'Data Sheet'!J29</f>
        <v>3608.9</v>
      </c>
      <c r="K11" s="6">
        <f>'Data Sheet'!K29</f>
        <v>4277.7</v>
      </c>
      <c r="L11" s="6">
        <f>SUM(Quarters!H11:K11)</f>
        <v>4183.3</v>
      </c>
      <c r="M11" s="7">
        <f>IF($L10&gt;0,$L11/$L10,0)</f>
        <v>0.23585160962958787</v>
      </c>
      <c r="N11" s="7">
        <f>IF($L10&gt;0,$L11/$L10,0)</f>
        <v>0.23585160962958787</v>
      </c>
    </row>
    <row r="12" spans="1:14" s="2" customFormat="1" x14ac:dyDescent="0.4">
      <c r="A12" s="2" t="s">
        <v>14</v>
      </c>
      <c r="B12" s="1">
        <f>'Data Sheet'!B30</f>
        <v>8907.9</v>
      </c>
      <c r="C12" s="1">
        <f>'Data Sheet'!C30</f>
        <v>8493.1</v>
      </c>
      <c r="D12" s="1">
        <f>'Data Sheet'!D30</f>
        <v>8002.8</v>
      </c>
      <c r="E12" s="1">
        <f>'Data Sheet'!E30</f>
        <v>9003.7000000000007</v>
      </c>
      <c r="F12" s="1">
        <f>'Data Sheet'!F30</f>
        <v>9722.2999999999993</v>
      </c>
      <c r="G12" s="1">
        <f>'Data Sheet'!G30</f>
        <v>10796.4</v>
      </c>
      <c r="H12" s="1">
        <f>'Data Sheet'!H30</f>
        <v>12229.6</v>
      </c>
      <c r="I12" s="1">
        <f>'Data Sheet'!I30</f>
        <v>11350</v>
      </c>
      <c r="J12" s="1">
        <f>'Data Sheet'!J30</f>
        <v>11045.2</v>
      </c>
      <c r="K12" s="1">
        <f>'Data Sheet'!K30</f>
        <v>13135.4</v>
      </c>
      <c r="L12" s="1">
        <f>SUM(Quarters!H12:K12)</f>
        <v>13500</v>
      </c>
      <c r="M12" s="1">
        <f>M10-M11*M10</f>
        <v>10748.433009022103</v>
      </c>
      <c r="N12" s="1">
        <f>N10-N11*N10</f>
        <v>9851.7733164616366</v>
      </c>
    </row>
    <row r="13" spans="1:14" x14ac:dyDescent="0.4">
      <c r="A13" t="s">
        <v>48</v>
      </c>
      <c r="B13" s="6">
        <f>IF('Data Sheet'!B93&gt;0,B12/'Data Sheet'!B93,0)</f>
        <v>6.7601882067238366</v>
      </c>
      <c r="C13" s="6">
        <f>IF('Data Sheet'!C93&gt;0,C12/'Data Sheet'!C93,0)</f>
        <v>6.5508916450697274</v>
      </c>
      <c r="D13" s="6">
        <f>IF('Data Sheet'!D93&gt;0,D12/'Data Sheet'!D93,0)</f>
        <v>6.6338956355949774</v>
      </c>
      <c r="E13" s="6">
        <f>IF('Data Sheet'!E93&gt;0,E12/'Data Sheet'!E93,0)</f>
        <v>7.4608672594237611</v>
      </c>
      <c r="F13" s="6">
        <f>IF('Data Sheet'!F93&gt;0,F12/'Data Sheet'!F93,0)</f>
        <v>8.5084057514417974</v>
      </c>
      <c r="G13" s="6">
        <f>IF('Data Sheet'!G93&gt;0,G12/'Data Sheet'!G93,0)</f>
        <v>9.8522581057280778</v>
      </c>
      <c r="H13" s="6">
        <f>IF('Data Sheet'!H93&gt;0,H12/'Data Sheet'!H93,0)</f>
        <v>11.154221504729071</v>
      </c>
      <c r="I13" s="6">
        <f>IF('Data Sheet'!I93&gt;0,I12/'Data Sheet'!I93,0)</f>
        <v>10.340931868292062</v>
      </c>
      <c r="J13" s="6">
        <f>IF('Data Sheet'!J93&gt;0,J12/'Data Sheet'!J93,0)</f>
        <v>10.569265954087443</v>
      </c>
      <c r="K13" s="6">
        <f>IF('Data Sheet'!K93&gt;0,K12/'Data Sheet'!K93,0)</f>
        <v>12.543233926337601</v>
      </c>
      <c r="L13" s="6">
        <f>IF('Data Sheet'!$B6&gt;0,'Profit &amp; Loss'!L12/'Data Sheet'!$B6,0)</f>
        <v>12.873217809236086</v>
      </c>
      <c r="M13" s="6">
        <f>IF('Data Sheet'!$B6&gt;0,'Profit &amp; Loss'!M12/'Data Sheet'!$B6,0)</f>
        <v>10.249401424675877</v>
      </c>
      <c r="N13" s="6">
        <f>IF('Data Sheet'!$B6&gt;0,'Profit &amp; Loss'!N12/'Data Sheet'!$B6,0)</f>
        <v>9.3943721266689479</v>
      </c>
    </row>
    <row r="14" spans="1:14" x14ac:dyDescent="0.4">
      <c r="A14" t="s">
        <v>16</v>
      </c>
      <c r="B14" s="6">
        <f>IF(B15&gt;0,B15/B13,"")</f>
        <v>15.650451846114123</v>
      </c>
      <c r="C14" s="6">
        <f t="shared" ref="C14:K14" si="2">IF(C15&gt;0,C15/C13,"")</f>
        <v>14.761349330633102</v>
      </c>
      <c r="D14" s="6">
        <f t="shared" si="2"/>
        <v>15.894130054480929</v>
      </c>
      <c r="E14" s="6">
        <f t="shared" si="2"/>
        <v>17.075762853049302</v>
      </c>
      <c r="F14" s="6">
        <f t="shared" si="2"/>
        <v>11.559157246742027</v>
      </c>
      <c r="G14" s="6">
        <f t="shared" si="2"/>
        <v>21.018531769849211</v>
      </c>
      <c r="H14" s="6">
        <f t="shared" si="2"/>
        <v>26.532555398377706</v>
      </c>
      <c r="I14" s="6">
        <f t="shared" si="2"/>
        <v>17.66088417621145</v>
      </c>
      <c r="J14" s="6">
        <f t="shared" si="2"/>
        <v>22.712078685763952</v>
      </c>
      <c r="K14" s="6">
        <f t="shared" si="2"/>
        <v>20.907686290482211</v>
      </c>
      <c r="L14" s="6">
        <f t="shared" ref="L14" si="3">IF(L13&gt;0,L15/L13,0)</f>
        <v>20.798995555555557</v>
      </c>
      <c r="M14" s="6">
        <f>M25</f>
        <v>20.798995555555557</v>
      </c>
      <c r="N14" s="6">
        <f>N25</f>
        <v>18.597416655205418</v>
      </c>
    </row>
    <row r="15" spans="1:14" s="2" customFormat="1" x14ac:dyDescent="0.4">
      <c r="A15" s="2" t="s">
        <v>49</v>
      </c>
      <c r="B15" s="1">
        <f>'Data Sheet'!B90</f>
        <v>105.8</v>
      </c>
      <c r="C15" s="1">
        <f>'Data Sheet'!C90</f>
        <v>96.7</v>
      </c>
      <c r="D15" s="1">
        <f>'Data Sheet'!D90</f>
        <v>105.44</v>
      </c>
      <c r="E15" s="1">
        <f>'Data Sheet'!E90</f>
        <v>127.4</v>
      </c>
      <c r="F15" s="1">
        <f>'Data Sheet'!F90</f>
        <v>98.35</v>
      </c>
      <c r="G15" s="1">
        <f>'Data Sheet'!G90</f>
        <v>207.08</v>
      </c>
      <c r="H15" s="1">
        <f>'Data Sheet'!H90</f>
        <v>295.95</v>
      </c>
      <c r="I15" s="1">
        <f>'Data Sheet'!I90</f>
        <v>182.63</v>
      </c>
      <c r="J15" s="1">
        <f>'Data Sheet'!J90</f>
        <v>240.05</v>
      </c>
      <c r="K15" s="1">
        <f>'Data Sheet'!K90</f>
        <v>262.25</v>
      </c>
      <c r="L15" s="1">
        <f>'Data Sheet'!B8</f>
        <v>267.75</v>
      </c>
      <c r="M15" s="8">
        <f>M13*M14</f>
        <v>213.17725467893837</v>
      </c>
      <c r="N15" s="9">
        <f>N13*N14</f>
        <v>174.71105265371062</v>
      </c>
    </row>
    <row r="17" spans="1:14" s="2" customFormat="1" x14ac:dyDescent="0.4">
      <c r="A17" s="2" t="s">
        <v>15</v>
      </c>
    </row>
    <row r="18" spans="1:14" x14ac:dyDescent="0.4">
      <c r="A18" t="s">
        <v>17</v>
      </c>
      <c r="B18" s="5">
        <f>IF('Data Sheet'!B30&gt;0, 'Data Sheet'!B31/'Data Sheet'!B30, 0)</f>
        <v>0.16640285589196108</v>
      </c>
      <c r="C18" s="5">
        <f>IF('Data Sheet'!C30&gt;0, 'Data Sheet'!C31/'Data Sheet'!C30, 0)</f>
        <v>5.7234696400607556E-2</v>
      </c>
      <c r="D18" s="5">
        <f>IF('Data Sheet'!D30&gt;0, 'Data Sheet'!D31/'Data Sheet'!D30, 0)</f>
        <v>5.6530214424951264E-2</v>
      </c>
      <c r="E18" s="5">
        <f>IF('Data Sheet'!E30&gt;0, 'Data Sheet'!E31/'Data Sheet'!E30, 0)</f>
        <v>6.7016893055077353E-2</v>
      </c>
      <c r="F18" s="5">
        <f>IF('Data Sheet'!F30&gt;0, 'Data Sheet'!F31/'Data Sheet'!F30, 0)</f>
        <v>5.8766958435761095E-2</v>
      </c>
      <c r="G18" s="5">
        <f>IF('Data Sheet'!G30&gt;0, 'Data Sheet'!G31/'Data Sheet'!G30, 0)</f>
        <v>5.0748397614019489E-2</v>
      </c>
      <c r="H18" s="5">
        <f>IF('Data Sheet'!H30&gt;0, 'Data Sheet'!H31/'Data Sheet'!H30, 0)</f>
        <v>0.26895401321384182</v>
      </c>
      <c r="I18" s="5">
        <f>IF('Data Sheet'!I30&gt;0, 'Data Sheet'!I31/'Data Sheet'!I30, 0)</f>
        <v>4.8352422907488986E-2</v>
      </c>
      <c r="J18" s="5">
        <f>IF('Data Sheet'!J30&gt;0, 'Data Sheet'!J31/'Data Sheet'!J30, 0)</f>
        <v>4.7305616919566869E-2</v>
      </c>
      <c r="K18" s="5">
        <f>IF('Data Sheet'!K30&gt;0, 'Data Sheet'!K31/'Data Sheet'!K30, 0)</f>
        <v>0.47834097172526152</v>
      </c>
    </row>
    <row r="19" spans="1:14" x14ac:dyDescent="0.4">
      <c r="A19" t="s">
        <v>18</v>
      </c>
      <c r="B19" s="5">
        <f t="shared" ref="B19:L19" si="4">IF(B6&gt;0,B6/B4,0)</f>
        <v>0.21067442041995166</v>
      </c>
      <c r="C19" s="5">
        <f t="shared" ref="C19:K19" si="5">IF(C6&gt;0,C6/C4,0)</f>
        <v>0.20417000310198313</v>
      </c>
      <c r="D19" s="5">
        <f t="shared" si="5"/>
        <v>0.19063411339564776</v>
      </c>
      <c r="E19" s="5">
        <f t="shared" si="5"/>
        <v>0.19676069869143623</v>
      </c>
      <c r="F19" s="5">
        <f t="shared" si="5"/>
        <v>0.20187740441234206</v>
      </c>
      <c r="G19" s="5">
        <f t="shared" si="5"/>
        <v>0.2384988108481649</v>
      </c>
      <c r="H19" s="5">
        <f t="shared" si="5"/>
        <v>0.21036160984466407</v>
      </c>
      <c r="I19" s="5">
        <f t="shared" si="5"/>
        <v>0.18609179600298839</v>
      </c>
      <c r="J19" s="5">
        <f t="shared" si="5"/>
        <v>0.18663596266946506</v>
      </c>
      <c r="K19" s="5">
        <f t="shared" si="5"/>
        <v>0.20228447250147044</v>
      </c>
      <c r="L19" s="5">
        <f t="shared" si="4"/>
        <v>0.19819664067440818</v>
      </c>
    </row>
    <row r="20" spans="1:14" x14ac:dyDescent="0.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4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4">
      <c r="A23"/>
      <c r="B23"/>
      <c r="C23"/>
      <c r="D23"/>
      <c r="E23"/>
      <c r="F23"/>
      <c r="G23" t="s">
        <v>22</v>
      </c>
      <c r="H23" s="5">
        <f>IF(B4=0,"",POWER($K4/B4,1/9)-1)</f>
        <v>6.3375033837179018E-2</v>
      </c>
      <c r="I23" s="5">
        <f>IF(D4=0,"",POWER($K4/D4,1/7)-1)</f>
        <v>7.2763339663841853E-2</v>
      </c>
      <c r="J23" s="5">
        <f>IF(F4=0,"",POWER($K4/F4,1/5)-1)</f>
        <v>7.8208011811741196E-2</v>
      </c>
      <c r="K23" s="5">
        <f>IF(H4=0,"",POWER($K4/H4, 1/3)-1)</f>
        <v>3.950700243457983E-2</v>
      </c>
      <c r="L23" s="5">
        <f>IF(ISERROR(MAX(IF(J4=0,"",(K4-J4)/J4),IF(K4=0,"",(L4-K4)/K4))),"",MAX(IF(J4=0,"",(K4-J4)/J4),IF(K4=0,"",(L4-K4)/K4)))</f>
        <v>6.3588525554394799E-3</v>
      </c>
      <c r="M23" s="16">
        <f>MAX(K23:L23)</f>
        <v>3.950700243457983E-2</v>
      </c>
      <c r="N23" s="16">
        <f>MIN(H23:L23)</f>
        <v>6.3588525554394799E-3</v>
      </c>
    </row>
    <row r="24" spans="1:14" x14ac:dyDescent="0.4">
      <c r="G24" t="s">
        <v>18</v>
      </c>
      <c r="H24" s="5">
        <f>IF(SUM(B4:$K$4)=0,"",SUMPRODUCT(B19:$K$19,B4:$K$4)/SUM(B4:$K$4))</f>
        <v>0.20165215822887989</v>
      </c>
      <c r="I24" s="5">
        <f>IF(SUM(E4:$K$4)=0,"",SUMPRODUCT(E19:$K$19,E4:$K$4)/SUM(E4:$K$4))</f>
        <v>0.20164913233360915</v>
      </c>
      <c r="J24" s="5">
        <f>IF(SUM(G4:$K$4)=0,"",SUMPRODUCT(G19:$K$19,G4:$K$4)/SUM(G4:$K$4))</f>
        <v>0.20231782498650702</v>
      </c>
      <c r="K24" s="5">
        <f>IF(SUM(I4:$K$4)=0, "", SUMPRODUCT(I19:$K$19,I4:$K$4)/SUM(I4:$K$4))</f>
        <v>0.19162920111399759</v>
      </c>
      <c r="L24" s="5">
        <f>L19</f>
        <v>0.19819664067440818</v>
      </c>
      <c r="M24" s="16">
        <f>MAX(K24:L24)</f>
        <v>0.19819664067440818</v>
      </c>
      <c r="N24" s="16">
        <f>MIN(H24:L24)</f>
        <v>0.19162920111399759</v>
      </c>
    </row>
    <row r="25" spans="1:14" x14ac:dyDescent="0.4">
      <c r="G25" t="s">
        <v>23</v>
      </c>
      <c r="H25" s="6">
        <f>IF(ISERROR(AVERAGEIF(B14:$L14,"&gt;0")),"",AVERAGEIF(B14:$L14,"&gt;0"))</f>
        <v>18.597416655205418</v>
      </c>
      <c r="I25" s="6">
        <f>IF(ISERROR(AVERAGEIF(E14:$L14,"&gt;0")),"",AVERAGEIF(E14:$L14,"&gt;0"))</f>
        <v>19.783206497003928</v>
      </c>
      <c r="J25" s="6">
        <f>IF(ISERROR(AVERAGEIF(G14:$L14,"&gt;0")),"",AVERAGEIF(G14:$L14,"&gt;0"))</f>
        <v>21.605121979373351</v>
      </c>
      <c r="K25" s="6">
        <f>IF(ISERROR(AVERAGEIF(I14:$L14,"&gt;0")),"",AVERAGEIF(I14:$L14,"&gt;0"))</f>
        <v>20.519911177003294</v>
      </c>
      <c r="L25" s="6">
        <f>L14</f>
        <v>20.798995555555557</v>
      </c>
      <c r="M25" s="1">
        <f>MAX(K25:L25)</f>
        <v>20.798995555555557</v>
      </c>
      <c r="N25" s="1">
        <f>MIN(H25:L25)</f>
        <v>18.597416655205418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activeCell="E2" sqref="E2"/>
      <selection pane="topRight" activeCell="E2" sqref="E2"/>
      <selection pane="bottomLeft" activeCell="E2" sqref="E2"/>
      <selection pane="bottomRight" activeCell="E2" sqref="E2"/>
    </sheetView>
  </sheetViews>
  <sheetFormatPr defaultColWidth="8.84375" defaultRowHeight="14.6" x14ac:dyDescent="0.4"/>
  <cols>
    <col min="1" max="1" width="20.69140625" customWidth="1"/>
    <col min="2" max="11" width="13.4609375" bestFit="1" customWidth="1"/>
  </cols>
  <sheetData>
    <row r="1" spans="1:11" s="2" customFormat="1" x14ac:dyDescent="0.4">
      <c r="A1" s="2" t="str">
        <f>'Profit &amp; Loss'!A1</f>
        <v>WIPRO LTD</v>
      </c>
      <c r="E1" t="str">
        <f>UPDATE</f>
        <v/>
      </c>
      <c r="J1" s="2" t="s">
        <v>1</v>
      </c>
    </row>
    <row r="3" spans="1:11" s="2" customFormat="1" x14ac:dyDescent="0.4">
      <c r="A3" s="11" t="s">
        <v>2</v>
      </c>
      <c r="B3" s="12">
        <f>'Data Sheet'!B41</f>
        <v>45107</v>
      </c>
      <c r="C3" s="12">
        <f>'Data Sheet'!C41</f>
        <v>45199</v>
      </c>
      <c r="D3" s="12">
        <f>'Data Sheet'!D41</f>
        <v>45291</v>
      </c>
      <c r="E3" s="12">
        <f>'Data Sheet'!E41</f>
        <v>45382</v>
      </c>
      <c r="F3" s="12">
        <f>'Data Sheet'!F41</f>
        <v>45473</v>
      </c>
      <c r="G3" s="12">
        <f>'Data Sheet'!G41</f>
        <v>45565</v>
      </c>
      <c r="H3" s="12">
        <f>'Data Sheet'!H41</f>
        <v>45657</v>
      </c>
      <c r="I3" s="12">
        <f>'Data Sheet'!I41</f>
        <v>45747</v>
      </c>
      <c r="J3" s="12">
        <f>'Data Sheet'!J41</f>
        <v>45838</v>
      </c>
      <c r="K3" s="12">
        <f>'Data Sheet'!K41</f>
        <v>45930</v>
      </c>
    </row>
    <row r="4" spans="1:11" s="2" customFormat="1" x14ac:dyDescent="0.4">
      <c r="A4" s="2" t="s">
        <v>6</v>
      </c>
      <c r="B4" s="1">
        <f>'Data Sheet'!B42</f>
        <v>22831</v>
      </c>
      <c r="C4" s="1">
        <f>'Data Sheet'!C42</f>
        <v>22515.9</v>
      </c>
      <c r="D4" s="1">
        <f>'Data Sheet'!D42</f>
        <v>22205.1</v>
      </c>
      <c r="E4" s="1">
        <f>'Data Sheet'!E42</f>
        <v>22208.3</v>
      </c>
      <c r="F4" s="1">
        <f>'Data Sheet'!F42</f>
        <v>21963.8</v>
      </c>
      <c r="G4" s="1">
        <f>'Data Sheet'!G42</f>
        <v>22301.599999999999</v>
      </c>
      <c r="H4" s="1">
        <f>'Data Sheet'!H42</f>
        <v>22318.799999999999</v>
      </c>
      <c r="I4" s="1">
        <f>'Data Sheet'!I42</f>
        <v>22504.2</v>
      </c>
      <c r="J4" s="1">
        <f>'Data Sheet'!J42</f>
        <v>22134.6</v>
      </c>
      <c r="K4" s="1">
        <f>'Data Sheet'!K42</f>
        <v>22697.3</v>
      </c>
    </row>
    <row r="5" spans="1:11" x14ac:dyDescent="0.4">
      <c r="A5" t="s">
        <v>7</v>
      </c>
      <c r="B5" s="6">
        <f>'Data Sheet'!B43</f>
        <v>18627.400000000001</v>
      </c>
      <c r="C5" s="6">
        <f>'Data Sheet'!C43</f>
        <v>18546.2</v>
      </c>
      <c r="D5" s="6">
        <f>'Data Sheet'!D43</f>
        <v>18006.8</v>
      </c>
      <c r="E5" s="6">
        <f>'Data Sheet'!E43</f>
        <v>17827.7</v>
      </c>
      <c r="F5" s="6">
        <f>'Data Sheet'!F43</f>
        <v>17614.2</v>
      </c>
      <c r="G5" s="6">
        <f>'Data Sheet'!G43</f>
        <v>17798.3</v>
      </c>
      <c r="H5" s="6">
        <f>'Data Sheet'!H43</f>
        <v>17779</v>
      </c>
      <c r="I5" s="6">
        <f>'Data Sheet'!I43</f>
        <v>17880.2</v>
      </c>
      <c r="J5" s="6">
        <f>'Data Sheet'!J43</f>
        <v>17901.5</v>
      </c>
      <c r="K5" s="6">
        <f>'Data Sheet'!K43</f>
        <v>18324.900000000001</v>
      </c>
    </row>
    <row r="6" spans="1:11" s="2" customFormat="1" x14ac:dyDescent="0.4">
      <c r="A6" s="2" t="s">
        <v>8</v>
      </c>
      <c r="B6" s="1">
        <f>'Data Sheet'!B50</f>
        <v>4203.6000000000004</v>
      </c>
      <c r="C6" s="1">
        <f>'Data Sheet'!C50</f>
        <v>3969.7</v>
      </c>
      <c r="D6" s="1">
        <f>'Data Sheet'!D50</f>
        <v>4198.3</v>
      </c>
      <c r="E6" s="1">
        <f>'Data Sheet'!E50</f>
        <v>4380.6000000000004</v>
      </c>
      <c r="F6" s="1">
        <f>'Data Sheet'!F50</f>
        <v>4349.6000000000004</v>
      </c>
      <c r="G6" s="1">
        <f>'Data Sheet'!G50</f>
        <v>4503.3</v>
      </c>
      <c r="H6" s="1">
        <f>'Data Sheet'!H50</f>
        <v>4539.8</v>
      </c>
      <c r="I6" s="1">
        <f>'Data Sheet'!I50</f>
        <v>4624</v>
      </c>
      <c r="J6" s="1">
        <f>'Data Sheet'!J50</f>
        <v>4233.1000000000004</v>
      </c>
      <c r="K6" s="1">
        <f>'Data Sheet'!K50</f>
        <v>4372.3999999999996</v>
      </c>
    </row>
    <row r="7" spans="1:11" x14ac:dyDescent="0.4">
      <c r="A7" t="s">
        <v>9</v>
      </c>
      <c r="B7" s="6">
        <f>'Data Sheet'!B44</f>
        <v>640.5</v>
      </c>
      <c r="C7" s="6">
        <f>'Data Sheet'!C44</f>
        <v>739.8</v>
      </c>
      <c r="D7" s="6">
        <f>'Data Sheet'!D44</f>
        <v>597.9</v>
      </c>
      <c r="E7" s="6">
        <f>'Data Sheet'!E44</f>
        <v>652.9</v>
      </c>
      <c r="F7" s="6">
        <f>'Data Sheet'!F44</f>
        <v>729.7</v>
      </c>
      <c r="G7" s="6">
        <f>'Data Sheet'!G44</f>
        <v>962.2</v>
      </c>
      <c r="H7" s="6">
        <f>'Data Sheet'!H44</f>
        <v>1004.6</v>
      </c>
      <c r="I7" s="6">
        <f>'Data Sheet'!I44</f>
        <v>1217.4000000000001</v>
      </c>
      <c r="J7" s="6">
        <f>'Data Sheet'!J44</f>
        <v>1071.5</v>
      </c>
      <c r="K7" s="6">
        <f>'Data Sheet'!K44</f>
        <v>962.9</v>
      </c>
    </row>
    <row r="8" spans="1:11" x14ac:dyDescent="0.4">
      <c r="A8" t="s">
        <v>10</v>
      </c>
      <c r="B8" s="6">
        <f>'Data Sheet'!B45</f>
        <v>738</v>
      </c>
      <c r="C8" s="6">
        <f>'Data Sheet'!C45</f>
        <v>897</v>
      </c>
      <c r="D8" s="6">
        <f>'Data Sheet'!D45</f>
        <v>931.6</v>
      </c>
      <c r="E8" s="6">
        <f>'Data Sheet'!E45</f>
        <v>840.5</v>
      </c>
      <c r="F8" s="6">
        <f>'Data Sheet'!F45</f>
        <v>728.9</v>
      </c>
      <c r="G8" s="6">
        <f>'Data Sheet'!G45</f>
        <v>830.8</v>
      </c>
      <c r="H8" s="6">
        <f>'Data Sheet'!H45</f>
        <v>676.5</v>
      </c>
      <c r="I8" s="6">
        <f>'Data Sheet'!I45</f>
        <v>721.7</v>
      </c>
      <c r="J8" s="6">
        <f>'Data Sheet'!J45</f>
        <v>685.5</v>
      </c>
      <c r="K8" s="6">
        <f>'Data Sheet'!K45</f>
        <v>691.7</v>
      </c>
    </row>
    <row r="9" spans="1:11" x14ac:dyDescent="0.4">
      <c r="A9" t="s">
        <v>11</v>
      </c>
      <c r="B9" s="6">
        <f>'Data Sheet'!B46</f>
        <v>308.60000000000002</v>
      </c>
      <c r="C9" s="6">
        <f>'Data Sheet'!C46</f>
        <v>303.3</v>
      </c>
      <c r="D9" s="6">
        <f>'Data Sheet'!D46</f>
        <v>312.5</v>
      </c>
      <c r="E9" s="6">
        <f>'Data Sheet'!E46</f>
        <v>330.8</v>
      </c>
      <c r="F9" s="6">
        <f>'Data Sheet'!F46</f>
        <v>328.8</v>
      </c>
      <c r="G9" s="6">
        <f>'Data Sheet'!G46</f>
        <v>356.9</v>
      </c>
      <c r="H9" s="6">
        <f>'Data Sheet'!H46</f>
        <v>414.6</v>
      </c>
      <c r="I9" s="6">
        <f>'Data Sheet'!I46</f>
        <v>376.7</v>
      </c>
      <c r="J9" s="6">
        <f>'Data Sheet'!J46</f>
        <v>360.8</v>
      </c>
      <c r="K9" s="6">
        <f>'Data Sheet'!K46</f>
        <v>361.2</v>
      </c>
    </row>
    <row r="10" spans="1:11" x14ac:dyDescent="0.4">
      <c r="A10" t="s">
        <v>12</v>
      </c>
      <c r="B10" s="6">
        <f>'Data Sheet'!B47</f>
        <v>3797.5</v>
      </c>
      <c r="C10" s="6">
        <f>'Data Sheet'!C47</f>
        <v>3509.2</v>
      </c>
      <c r="D10" s="6">
        <f>'Data Sheet'!D47</f>
        <v>3552.1</v>
      </c>
      <c r="E10" s="6">
        <f>'Data Sheet'!E47</f>
        <v>3862.2</v>
      </c>
      <c r="F10" s="6">
        <f>'Data Sheet'!F47</f>
        <v>4021.6</v>
      </c>
      <c r="G10" s="6">
        <f>'Data Sheet'!G47</f>
        <v>4277.8</v>
      </c>
      <c r="H10" s="6">
        <f>'Data Sheet'!H47</f>
        <v>4453.3</v>
      </c>
      <c r="I10" s="6">
        <f>'Data Sheet'!I47</f>
        <v>4743</v>
      </c>
      <c r="J10" s="6">
        <f>'Data Sheet'!J47</f>
        <v>4258.3</v>
      </c>
      <c r="K10" s="6">
        <f>'Data Sheet'!K47</f>
        <v>4282.3999999999996</v>
      </c>
    </row>
    <row r="11" spans="1:11" x14ac:dyDescent="0.4">
      <c r="A11" t="s">
        <v>13</v>
      </c>
      <c r="B11" s="6">
        <f>'Data Sheet'!B48</f>
        <v>911.5</v>
      </c>
      <c r="C11" s="6">
        <f>'Data Sheet'!C48</f>
        <v>841.9</v>
      </c>
      <c r="D11" s="6">
        <f>'Data Sheet'!D48</f>
        <v>851.5</v>
      </c>
      <c r="E11" s="6">
        <f>'Data Sheet'!E48</f>
        <v>1004</v>
      </c>
      <c r="F11" s="6">
        <f>'Data Sheet'!F48</f>
        <v>985</v>
      </c>
      <c r="G11" s="6">
        <f>'Data Sheet'!G48</f>
        <v>1051.2</v>
      </c>
      <c r="H11" s="6">
        <f>'Data Sheet'!H48</f>
        <v>1086.5999999999999</v>
      </c>
      <c r="I11" s="6">
        <f>'Data Sheet'!I48</f>
        <v>1154.9000000000001</v>
      </c>
      <c r="J11" s="6">
        <f>'Data Sheet'!J48</f>
        <v>921.8</v>
      </c>
      <c r="K11" s="6">
        <f>'Data Sheet'!K48</f>
        <v>1020</v>
      </c>
    </row>
    <row r="12" spans="1:11" s="2" customFormat="1" x14ac:dyDescent="0.4">
      <c r="A12" s="2" t="s">
        <v>14</v>
      </c>
      <c r="B12" s="1">
        <f>'Data Sheet'!B49</f>
        <v>2870.1</v>
      </c>
      <c r="C12" s="1">
        <f>'Data Sheet'!C49</f>
        <v>2646.3</v>
      </c>
      <c r="D12" s="1">
        <f>'Data Sheet'!D49</f>
        <v>2694.2</v>
      </c>
      <c r="E12" s="1">
        <f>'Data Sheet'!E49</f>
        <v>2834.6</v>
      </c>
      <c r="F12" s="1">
        <f>'Data Sheet'!F49</f>
        <v>3003.2</v>
      </c>
      <c r="G12" s="1">
        <f>'Data Sheet'!G49</f>
        <v>3208.8</v>
      </c>
      <c r="H12" s="1">
        <f>'Data Sheet'!H49</f>
        <v>3353.8</v>
      </c>
      <c r="I12" s="1">
        <f>'Data Sheet'!I49</f>
        <v>3569.6</v>
      </c>
      <c r="J12" s="1">
        <f>'Data Sheet'!J49</f>
        <v>3330.4</v>
      </c>
      <c r="K12" s="1">
        <f>'Data Sheet'!K49</f>
        <v>3246.2</v>
      </c>
    </row>
    <row r="14" spans="1:11" s="2" customFormat="1" x14ac:dyDescent="0.4">
      <c r="A14" s="2" t="s">
        <v>18</v>
      </c>
      <c r="B14" s="10">
        <f>IF(B4&gt;0,B6/B4,"")</f>
        <v>0.18411808505978713</v>
      </c>
      <c r="C14" s="10">
        <f t="shared" ref="C14:K14" si="0">IF(C4&gt;0,C6/C4,"")</f>
        <v>0.17630652116948464</v>
      </c>
      <c r="D14" s="10">
        <f t="shared" si="0"/>
        <v>0.18906917780149607</v>
      </c>
      <c r="E14" s="10">
        <f t="shared" si="0"/>
        <v>0.1972505774867955</v>
      </c>
      <c r="F14" s="10">
        <f t="shared" si="0"/>
        <v>0.19803494841511946</v>
      </c>
      <c r="G14" s="10">
        <f t="shared" si="0"/>
        <v>0.20192721598450339</v>
      </c>
      <c r="H14" s="10">
        <f t="shared" si="0"/>
        <v>0.20340699320752012</v>
      </c>
      <c r="I14" s="10">
        <f t="shared" si="0"/>
        <v>0.20547275619662106</v>
      </c>
      <c r="J14" s="10">
        <f t="shared" si="0"/>
        <v>0.19124357340995549</v>
      </c>
      <c r="K14" s="10">
        <f t="shared" si="0"/>
        <v>0.19263965317460666</v>
      </c>
    </row>
    <row r="22" s="19" customFormat="1" x14ac:dyDescent="0.4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E2" sqref="E2"/>
      <selection pane="topRight" activeCell="E2" sqref="E2"/>
      <selection pane="bottomLeft" activeCell="E2" sqref="E2"/>
      <selection pane="bottomRight" activeCell="F9" sqref="F9:K9"/>
    </sheetView>
  </sheetViews>
  <sheetFormatPr defaultColWidth="8.84375" defaultRowHeight="14.6" x14ac:dyDescent="0.4"/>
  <cols>
    <col min="1" max="1" width="22.84375" bestFit="1" customWidth="1"/>
    <col min="2" max="2" width="13.4609375" customWidth="1"/>
    <col min="3" max="11" width="15.4609375" customWidth="1"/>
  </cols>
  <sheetData>
    <row r="1" spans="1:11" s="2" customFormat="1" x14ac:dyDescent="0.4">
      <c r="A1" s="2" t="str">
        <f>'Profit &amp; Loss'!A1</f>
        <v>WIPRO LTD</v>
      </c>
      <c r="E1" t="str">
        <f>UPDATE</f>
        <v/>
      </c>
      <c r="G1"/>
      <c r="J1" s="2" t="s">
        <v>1</v>
      </c>
    </row>
    <row r="2" spans="1:11" x14ac:dyDescent="0.4">
      <c r="G2" s="2"/>
      <c r="H2" s="2"/>
    </row>
    <row r="3" spans="1:11" x14ac:dyDescent="0.4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4">
      <c r="A4" t="s">
        <v>24</v>
      </c>
      <c r="B4" s="14">
        <f>'Data Sheet'!B57</f>
        <v>494.1</v>
      </c>
      <c r="C4" s="14">
        <f>'Data Sheet'!C57</f>
        <v>486.1</v>
      </c>
      <c r="D4" s="14">
        <f>'Data Sheet'!D57</f>
        <v>904.8</v>
      </c>
      <c r="E4" s="14">
        <f>'Data Sheet'!E57</f>
        <v>1206.8</v>
      </c>
      <c r="F4" s="14">
        <f>'Data Sheet'!F57</f>
        <v>1142.7</v>
      </c>
      <c r="G4" s="14">
        <f>'Data Sheet'!G57</f>
        <v>1095.8</v>
      </c>
      <c r="H4" s="14">
        <f>'Data Sheet'!H57</f>
        <v>1096.4000000000001</v>
      </c>
      <c r="I4" s="14">
        <f>'Data Sheet'!I57</f>
        <v>1097.5999999999999</v>
      </c>
      <c r="J4" s="14">
        <f>'Data Sheet'!J57</f>
        <v>1045</v>
      </c>
      <c r="K4" s="14">
        <f>'Data Sheet'!K57</f>
        <v>2094.4</v>
      </c>
    </row>
    <row r="5" spans="1:11" x14ac:dyDescent="0.4">
      <c r="A5" t="s">
        <v>25</v>
      </c>
      <c r="B5" s="14">
        <f>'Data Sheet'!B58</f>
        <v>45650.7</v>
      </c>
      <c r="C5" s="14">
        <f>'Data Sheet'!C58</f>
        <v>51184.1</v>
      </c>
      <c r="D5" s="14">
        <f>'Data Sheet'!D58</f>
        <v>47021.5</v>
      </c>
      <c r="E5" s="14">
        <f>'Data Sheet'!E58</f>
        <v>55215.8</v>
      </c>
      <c r="F5" s="14">
        <f>'Data Sheet'!F58</f>
        <v>54179</v>
      </c>
      <c r="G5" s="14">
        <f>'Data Sheet'!G58</f>
        <v>53805.2</v>
      </c>
      <c r="H5" s="14">
        <f>'Data Sheet'!H58</f>
        <v>64306.6</v>
      </c>
      <c r="I5" s="14">
        <f>'Data Sheet'!I58</f>
        <v>76570.3</v>
      </c>
      <c r="J5" s="14">
        <f>'Data Sheet'!J58</f>
        <v>73943.3</v>
      </c>
      <c r="K5" s="14">
        <f>'Data Sheet'!K58</f>
        <v>80736.5</v>
      </c>
    </row>
    <row r="6" spans="1:11" x14ac:dyDescent="0.4">
      <c r="A6" t="s">
        <v>62</v>
      </c>
      <c r="B6" s="14">
        <f>'Data Sheet'!B59</f>
        <v>12522.1</v>
      </c>
      <c r="C6" s="14">
        <f>'Data Sheet'!C59</f>
        <v>14241.2</v>
      </c>
      <c r="D6" s="14">
        <f>'Data Sheet'!D59</f>
        <v>13901.2</v>
      </c>
      <c r="E6" s="14">
        <f>'Data Sheet'!E59</f>
        <v>9946.7000000000007</v>
      </c>
      <c r="F6" s="14">
        <f>'Data Sheet'!F59</f>
        <v>9724</v>
      </c>
      <c r="G6" s="14">
        <f>'Data Sheet'!G59</f>
        <v>10451.4</v>
      </c>
      <c r="H6" s="14">
        <f>'Data Sheet'!H59</f>
        <v>17592.900000000001</v>
      </c>
      <c r="I6" s="14">
        <f>'Data Sheet'!I59</f>
        <v>17466.599999999999</v>
      </c>
      <c r="J6" s="14">
        <f>'Data Sheet'!J59</f>
        <v>16464.900000000001</v>
      </c>
      <c r="K6" s="14">
        <f>'Data Sheet'!K59</f>
        <v>19203.5</v>
      </c>
    </row>
    <row r="7" spans="1:11" x14ac:dyDescent="0.4">
      <c r="A7" t="s">
        <v>63</v>
      </c>
      <c r="B7" s="14">
        <f>'Data Sheet'!B60</f>
        <v>12923.5</v>
      </c>
      <c r="C7" s="14">
        <f>'Data Sheet'!C60</f>
        <v>12760.8</v>
      </c>
      <c r="D7" s="14">
        <f>'Data Sheet'!D60</f>
        <v>13563.3</v>
      </c>
      <c r="E7" s="14">
        <f>'Data Sheet'!E60</f>
        <v>16217.1</v>
      </c>
      <c r="F7" s="14">
        <f>'Data Sheet'!F60</f>
        <v>15953.9</v>
      </c>
      <c r="G7" s="14">
        <f>'Data Sheet'!G60</f>
        <v>17213.400000000001</v>
      </c>
      <c r="H7" s="14">
        <f>'Data Sheet'!H60</f>
        <v>24279.7</v>
      </c>
      <c r="I7" s="14">
        <f>'Data Sheet'!I60</f>
        <v>21789.200000000001</v>
      </c>
      <c r="J7" s="14">
        <f>'Data Sheet'!J60</f>
        <v>23611</v>
      </c>
      <c r="K7" s="14">
        <f>'Data Sheet'!K60</f>
        <v>26361.5</v>
      </c>
    </row>
    <row r="8" spans="1:11" s="2" customFormat="1" x14ac:dyDescent="0.4">
      <c r="A8" s="2" t="s">
        <v>26</v>
      </c>
      <c r="B8" s="15">
        <f>'Data Sheet'!B61</f>
        <v>71590.399999999994</v>
      </c>
      <c r="C8" s="15">
        <f>'Data Sheet'!C61</f>
        <v>78672.2</v>
      </c>
      <c r="D8" s="15">
        <f>'Data Sheet'!D61</f>
        <v>75390.8</v>
      </c>
      <c r="E8" s="15">
        <f>'Data Sheet'!E61</f>
        <v>82586.399999999994</v>
      </c>
      <c r="F8" s="15">
        <f>'Data Sheet'!F61</f>
        <v>80999.600000000006</v>
      </c>
      <c r="G8" s="15">
        <f>'Data Sheet'!G61</f>
        <v>82565.8</v>
      </c>
      <c r="H8" s="15">
        <f>'Data Sheet'!H61</f>
        <v>107275.6</v>
      </c>
      <c r="I8" s="15">
        <f>'Data Sheet'!I61</f>
        <v>116923.7</v>
      </c>
      <c r="J8" s="15">
        <f>'Data Sheet'!J61</f>
        <v>115064.2</v>
      </c>
      <c r="K8" s="15">
        <f>'Data Sheet'!K61</f>
        <v>128395.9</v>
      </c>
    </row>
    <row r="9" spans="1:11" s="2" customFormat="1" x14ac:dyDescent="0.4">
      <c r="B9" s="15"/>
      <c r="C9" s="15"/>
      <c r="D9" s="15"/>
      <c r="E9" s="15"/>
      <c r="F9" s="15">
        <f t="shared" ref="F9:K9" si="0">F4+F5</f>
        <v>55321.7</v>
      </c>
      <c r="G9" s="15">
        <f t="shared" si="0"/>
        <v>54901</v>
      </c>
      <c r="H9" s="15">
        <f t="shared" si="0"/>
        <v>65403</v>
      </c>
      <c r="I9" s="15">
        <f t="shared" si="0"/>
        <v>77667.900000000009</v>
      </c>
      <c r="J9" s="15">
        <f t="shared" si="0"/>
        <v>74988.3</v>
      </c>
      <c r="K9" s="15">
        <f t="shared" si="0"/>
        <v>82830.899999999994</v>
      </c>
    </row>
    <row r="10" spans="1:11" x14ac:dyDescent="0.4">
      <c r="A10" t="s">
        <v>27</v>
      </c>
      <c r="B10" s="14">
        <f>'Data Sheet'!B62</f>
        <v>17279.099999999999</v>
      </c>
      <c r="C10" s="14">
        <f>'Data Sheet'!C62</f>
        <v>19886.5</v>
      </c>
      <c r="D10" s="14">
        <f>'Data Sheet'!D62</f>
        <v>18126.7</v>
      </c>
      <c r="E10" s="14">
        <f>'Data Sheet'!E62</f>
        <v>17464.7</v>
      </c>
      <c r="F10" s="14">
        <f>'Data Sheet'!F62</f>
        <v>22062.1</v>
      </c>
      <c r="G10" s="14">
        <f>'Data Sheet'!G62</f>
        <v>23040.3</v>
      </c>
      <c r="H10" s="14">
        <f>'Data Sheet'!H62</f>
        <v>37989.599999999999</v>
      </c>
      <c r="I10" s="14">
        <f>'Data Sheet'!I62</f>
        <v>44756.800000000003</v>
      </c>
      <c r="J10" s="14">
        <f>'Data Sheet'!J62</f>
        <v>44083.3</v>
      </c>
      <c r="K10" s="14">
        <f>'Data Sheet'!K62</f>
        <v>45653.5</v>
      </c>
    </row>
    <row r="11" spans="1:11" x14ac:dyDescent="0.4">
      <c r="A11" t="s">
        <v>28</v>
      </c>
      <c r="B11" s="14">
        <f>'Data Sheet'!B63</f>
        <v>380.6</v>
      </c>
      <c r="C11" s="14">
        <f>'Data Sheet'!C63</f>
        <v>737.7</v>
      </c>
      <c r="D11" s="14">
        <f>'Data Sheet'!D63</f>
        <v>1377.7</v>
      </c>
      <c r="E11" s="14">
        <f>'Data Sheet'!E63</f>
        <v>2141.8000000000002</v>
      </c>
      <c r="F11" s="14">
        <f>'Data Sheet'!F63</f>
        <v>1881.1</v>
      </c>
      <c r="G11" s="14">
        <f>'Data Sheet'!G63</f>
        <v>1853.2</v>
      </c>
      <c r="H11" s="14">
        <f>'Data Sheet'!H63</f>
        <v>1601.5</v>
      </c>
      <c r="I11" s="14">
        <f>'Data Sheet'!I63</f>
        <v>617.1</v>
      </c>
      <c r="J11" s="14">
        <f>'Data Sheet'!J63</f>
        <v>748</v>
      </c>
      <c r="K11" s="14">
        <f>'Data Sheet'!K63</f>
        <v>221.1</v>
      </c>
    </row>
    <row r="12" spans="1:11" x14ac:dyDescent="0.4">
      <c r="A12" t="s">
        <v>29</v>
      </c>
      <c r="B12" s="14">
        <f>'Data Sheet'!B64</f>
        <v>20915.099999999999</v>
      </c>
      <c r="C12" s="14">
        <f>'Data Sheet'!C64</f>
        <v>29913.3</v>
      </c>
      <c r="D12" s="14">
        <f>'Data Sheet'!D64</f>
        <v>25796.799999999999</v>
      </c>
      <c r="E12" s="14">
        <f>'Data Sheet'!E64</f>
        <v>22886.7</v>
      </c>
      <c r="F12" s="14">
        <f>'Data Sheet'!F64</f>
        <v>20032</v>
      </c>
      <c r="G12" s="14">
        <f>'Data Sheet'!G64</f>
        <v>18774.7</v>
      </c>
      <c r="H12" s="14">
        <f>'Data Sheet'!H64</f>
        <v>26153.8</v>
      </c>
      <c r="I12" s="14">
        <f>'Data Sheet'!I64</f>
        <v>33073.199999999997</v>
      </c>
      <c r="J12" s="14">
        <f>'Data Sheet'!J64</f>
        <v>33384.400000000001</v>
      </c>
      <c r="K12" s="14">
        <f>'Data Sheet'!K64</f>
        <v>43925.9</v>
      </c>
    </row>
    <row r="13" spans="1:11" x14ac:dyDescent="0.4">
      <c r="A13" t="s">
        <v>64</v>
      </c>
      <c r="B13" s="14">
        <f>'Data Sheet'!B65</f>
        <v>33015.599999999999</v>
      </c>
      <c r="C13" s="14">
        <f>'Data Sheet'!C65</f>
        <v>28134.7</v>
      </c>
      <c r="D13" s="14">
        <f>'Data Sheet'!D65</f>
        <v>30089.599999999999</v>
      </c>
      <c r="E13" s="14">
        <f>'Data Sheet'!E65</f>
        <v>40093.199999999997</v>
      </c>
      <c r="F13" s="14">
        <f>'Data Sheet'!F65</f>
        <v>37024.400000000001</v>
      </c>
      <c r="G13" s="14">
        <f>'Data Sheet'!G65</f>
        <v>38897.599999999999</v>
      </c>
      <c r="H13" s="14">
        <f>'Data Sheet'!H65</f>
        <v>41530.699999999997</v>
      </c>
      <c r="I13" s="14">
        <f>'Data Sheet'!I65</f>
        <v>38476.6</v>
      </c>
      <c r="J13" s="14">
        <f>'Data Sheet'!J65</f>
        <v>36848.5</v>
      </c>
      <c r="K13" s="14">
        <f>'Data Sheet'!K65</f>
        <v>38595.4</v>
      </c>
    </row>
    <row r="14" spans="1:11" s="2" customFormat="1" x14ac:dyDescent="0.4">
      <c r="A14" s="2" t="s">
        <v>26</v>
      </c>
      <c r="B14" s="14">
        <f>'Data Sheet'!B66</f>
        <v>71590.399999999994</v>
      </c>
      <c r="C14" s="14">
        <f>'Data Sheet'!C66</f>
        <v>78672.2</v>
      </c>
      <c r="D14" s="14">
        <f>'Data Sheet'!D66</f>
        <v>75390.8</v>
      </c>
      <c r="E14" s="14">
        <f>'Data Sheet'!E66</f>
        <v>82586.399999999994</v>
      </c>
      <c r="F14" s="14">
        <f>'Data Sheet'!F66</f>
        <v>80999.600000000006</v>
      </c>
      <c r="G14" s="14">
        <f>'Data Sheet'!G66</f>
        <v>82565.8</v>
      </c>
      <c r="H14" s="14">
        <f>'Data Sheet'!H66</f>
        <v>107275.6</v>
      </c>
      <c r="I14" s="14">
        <f>'Data Sheet'!I66</f>
        <v>116923.7</v>
      </c>
      <c r="J14" s="14">
        <f>'Data Sheet'!J66</f>
        <v>115064.2</v>
      </c>
      <c r="K14" s="14">
        <f>'Data Sheet'!K66</f>
        <v>128395.9</v>
      </c>
    </row>
    <row r="15" spans="1:11" x14ac:dyDescent="0.4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">
      <c r="A16" t="s">
        <v>30</v>
      </c>
      <c r="B16" s="4">
        <f>B13-B7</f>
        <v>20092.099999999999</v>
      </c>
      <c r="C16" s="4">
        <f t="shared" ref="C16:K16" si="1">C13-C7</f>
        <v>15373.900000000001</v>
      </c>
      <c r="D16" s="4">
        <f t="shared" si="1"/>
        <v>16526.3</v>
      </c>
      <c r="E16" s="4">
        <f t="shared" si="1"/>
        <v>23876.1</v>
      </c>
      <c r="F16" s="4">
        <f t="shared" si="1"/>
        <v>21070.5</v>
      </c>
      <c r="G16" s="4">
        <f t="shared" si="1"/>
        <v>21684.199999999997</v>
      </c>
      <c r="H16" s="4">
        <f t="shared" si="1"/>
        <v>17250.999999999996</v>
      </c>
      <c r="I16" s="4">
        <f t="shared" si="1"/>
        <v>16687.399999999998</v>
      </c>
      <c r="J16" s="4">
        <f t="shared" si="1"/>
        <v>13237.5</v>
      </c>
      <c r="K16" s="4">
        <f t="shared" si="1"/>
        <v>12233.900000000001</v>
      </c>
    </row>
    <row r="17" spans="1:11" x14ac:dyDescent="0.4">
      <c r="A17" t="s">
        <v>44</v>
      </c>
      <c r="B17" s="4">
        <f>'Data Sheet'!B67</f>
        <v>9961.4</v>
      </c>
      <c r="C17" s="4">
        <f>'Data Sheet'!C67</f>
        <v>9484.6</v>
      </c>
      <c r="D17" s="4">
        <f>'Data Sheet'!D67</f>
        <v>10099</v>
      </c>
      <c r="E17" s="4">
        <f>'Data Sheet'!E67</f>
        <v>10048.9</v>
      </c>
      <c r="F17" s="4">
        <f>'Data Sheet'!F67</f>
        <v>10447.4</v>
      </c>
      <c r="G17" s="4">
        <f>'Data Sheet'!G67</f>
        <v>9429.7999999999993</v>
      </c>
      <c r="H17" s="4">
        <f>'Data Sheet'!H67</f>
        <v>11521.9</v>
      </c>
      <c r="I17" s="4">
        <f>'Data Sheet'!I67</f>
        <v>12635</v>
      </c>
      <c r="J17" s="4">
        <f>'Data Sheet'!J67</f>
        <v>11547.7</v>
      </c>
      <c r="K17" s="4">
        <f>'Data Sheet'!K67</f>
        <v>11774.5</v>
      </c>
    </row>
    <row r="18" spans="1:11" x14ac:dyDescent="0.4">
      <c r="A18" t="s">
        <v>45</v>
      </c>
      <c r="B18" s="4">
        <f>'Data Sheet'!B68</f>
        <v>539</v>
      </c>
      <c r="C18" s="4">
        <f>'Data Sheet'!C68</f>
        <v>391.5</v>
      </c>
      <c r="D18" s="4">
        <f>'Data Sheet'!D68</f>
        <v>337</v>
      </c>
      <c r="E18" s="4">
        <f>'Data Sheet'!E68</f>
        <v>395.1</v>
      </c>
      <c r="F18" s="4">
        <f>'Data Sheet'!F68</f>
        <v>186.5</v>
      </c>
      <c r="G18" s="4">
        <f>'Data Sheet'!G68</f>
        <v>106.4</v>
      </c>
      <c r="H18" s="4">
        <f>'Data Sheet'!H68</f>
        <v>133.4</v>
      </c>
      <c r="I18" s="4">
        <f>'Data Sheet'!I68</f>
        <v>118.8</v>
      </c>
      <c r="J18" s="4">
        <f>'Data Sheet'!J68</f>
        <v>90.7</v>
      </c>
      <c r="K18" s="4">
        <f>'Data Sheet'!K68</f>
        <v>69.400000000000006</v>
      </c>
    </row>
    <row r="20" spans="1:11" x14ac:dyDescent="0.4">
      <c r="A20" t="s">
        <v>46</v>
      </c>
      <c r="B20" s="4">
        <f>IF('Profit &amp; Loss'!B4&gt;0,'Balance Sheet'!B17/('Profit &amp; Loss'!B4/365),0)</f>
        <v>70.9529115603778</v>
      </c>
      <c r="C20" s="4">
        <f>IF('Profit &amp; Loss'!C4&gt;0,'Balance Sheet'!C17/('Profit &amp; Loss'!C4/365),0)</f>
        <v>62.434245172087927</v>
      </c>
      <c r="D20" s="4">
        <f>IF('Profit &amp; Loss'!D4&gt;0,'Balance Sheet'!D17/('Profit &amp; Loss'!D4/365),0)</f>
        <v>67.651517515154964</v>
      </c>
      <c r="E20" s="4">
        <f>IF('Profit &amp; Loss'!E4&gt;0,'Balance Sheet'!E17/('Profit &amp; Loss'!E4/365),0)</f>
        <v>62.147015617031158</v>
      </c>
      <c r="F20" s="4">
        <f>IF('Profit &amp; Loss'!F4&gt;0,'Balance Sheet'!F17/('Profit &amp; Loss'!F4/365),0)</f>
        <v>62.372435293501866</v>
      </c>
      <c r="G20" s="4">
        <f>IF('Profit &amp; Loss'!G4&gt;0,'Balance Sheet'!G17/('Profit &amp; Loss'!G4/365),0)</f>
        <v>55.572496282386822</v>
      </c>
      <c r="H20" s="4">
        <f>IF('Profit &amp; Loss'!H4&gt;0,'Balance Sheet'!H17/('Profit &amp; Loss'!H4/365),0)</f>
        <v>53.024681006657254</v>
      </c>
      <c r="I20" s="4">
        <f>IF('Profit &amp; Loss'!I4&gt;0,'Balance Sheet'!I17/('Profit &amp; Loss'!I4/365),0)</f>
        <v>50.965822941485904</v>
      </c>
      <c r="J20" s="4">
        <f>IF('Profit &amp; Loss'!J4&gt;0,'Balance Sheet'!J17/('Profit &amp; Loss'!J4/365),0)</f>
        <v>46.957402103156966</v>
      </c>
      <c r="K20" s="4">
        <f>IF('Profit &amp; Loss'!K4&gt;0,'Balance Sheet'!K17/('Profit &amp; Loss'!K4/365),0)</f>
        <v>48.240764229686476</v>
      </c>
    </row>
    <row r="21" spans="1:11" x14ac:dyDescent="0.4">
      <c r="A21" t="s">
        <v>47</v>
      </c>
      <c r="B21" s="4">
        <f>IF('Balance Sheet'!B18&gt;0,'Profit &amp; Loss'!B4/'Balance Sheet'!B18,0)</f>
        <v>95.072356215213361</v>
      </c>
      <c r="C21" s="4">
        <f>IF('Balance Sheet'!C18&gt;0,'Profit &amp; Loss'!C4/'Balance Sheet'!C18,0)</f>
        <v>141.63065134099617</v>
      </c>
      <c r="D21" s="4">
        <f>IF('Balance Sheet'!D18&gt;0,'Profit &amp; Loss'!D4/'Balance Sheet'!D18,0)</f>
        <v>161.68278931750743</v>
      </c>
      <c r="E21" s="4">
        <f>IF('Balance Sheet'!E18&gt;0,'Profit &amp; Loss'!E4/'Balance Sheet'!E18,0)</f>
        <v>149.37711971652746</v>
      </c>
      <c r="F21" s="4">
        <f>IF('Balance Sheet'!F18&gt;0,'Profit &amp; Loss'!F4/'Balance Sheet'!F18,0)</f>
        <v>327.81554959785524</v>
      </c>
      <c r="G21" s="4">
        <f>IF('Balance Sheet'!G18&gt;0,'Profit &amp; Loss'!G4/'Balance Sheet'!G18,0)</f>
        <v>582.09492481203006</v>
      </c>
      <c r="H21" s="4">
        <f>IF('Balance Sheet'!H18&gt;0,'Profit &amp; Loss'!H4/'Balance Sheet'!H18,0)</f>
        <v>594.54272863568212</v>
      </c>
      <c r="I21" s="4">
        <f>IF('Balance Sheet'!I18&gt;0,'Profit &amp; Loss'!I4/'Balance Sheet'!I18,0)</f>
        <v>761.68013468013476</v>
      </c>
      <c r="J21" s="4">
        <f>IF('Balance Sheet'!J18&gt;0,'Profit &amp; Loss'!J4/'Balance Sheet'!J18,0)</f>
        <v>989.63947078280046</v>
      </c>
      <c r="K21" s="4">
        <f>IF('Balance Sheet'!K18&gt;0,'Profit &amp; Loss'!K4/'Balance Sheet'!K18,0)</f>
        <v>1283.6945244956771</v>
      </c>
    </row>
    <row r="23" spans="1:11" s="2" customFormat="1" x14ac:dyDescent="0.4">
      <c r="A23" s="2" t="s">
        <v>50</v>
      </c>
      <c r="B23" s="10">
        <f>IF(SUM('Balance Sheet'!B4:B5)&gt;0,'Profit &amp; Loss'!B12/SUM('Balance Sheet'!B4:B5),"")</f>
        <v>0.1930423362979144</v>
      </c>
      <c r="C23" s="10">
        <f>IF(SUM('Balance Sheet'!C4:C5)&gt;0,'Profit &amp; Loss'!C12/SUM('Balance Sheet'!C4:C5),"")</f>
        <v>0.1643713397664418</v>
      </c>
      <c r="D23" s="10">
        <f>IF(SUM('Balance Sheet'!D4:D5)&gt;0,'Profit &amp; Loss'!D12/SUM('Balance Sheet'!D4:D5),"")</f>
        <v>0.16698138600309223</v>
      </c>
      <c r="E23" s="10">
        <f>IF(SUM('Balance Sheet'!E4:E5)&gt;0,'Profit &amp; Loss'!E12/SUM('Balance Sheet'!E4:E5),"")</f>
        <v>0.15957612729650883</v>
      </c>
      <c r="F23" s="10">
        <f>IF(SUM('Balance Sheet'!F4:F5)&gt;0,'Profit &amp; Loss'!F12/SUM('Balance Sheet'!F4:F5),"")</f>
        <v>0.17574116485935898</v>
      </c>
      <c r="G23" s="10">
        <f>IF(SUM('Balance Sheet'!G4:G5)&gt;0,'Profit &amp; Loss'!G12/SUM('Balance Sheet'!G4:G5),"")</f>
        <v>0.196652155698439</v>
      </c>
      <c r="H23" s="10">
        <f>IF(SUM('Balance Sheet'!H4:H5)&gt;0,'Profit &amp; Loss'!H12/SUM('Balance Sheet'!H4:H5),"")</f>
        <v>0.18698836444811401</v>
      </c>
      <c r="I23" s="10">
        <f>IF(SUM('Balance Sheet'!I4:I5)&gt;0,'Profit &amp; Loss'!I12/SUM('Balance Sheet'!I4:I5),"")</f>
        <v>0.14613501845678845</v>
      </c>
      <c r="J23" s="10">
        <f>IF(SUM('Balance Sheet'!J4:J5)&gt;0,'Profit &amp; Loss'!J12/SUM('Balance Sheet'!J4:J5),"")</f>
        <v>0.14729231093383902</v>
      </c>
      <c r="K23" s="10">
        <f>IF(SUM('Balance Sheet'!K4:K5)&gt;0,'Profit &amp; Loss'!K12/SUM('Balance Sheet'!K4:K5),"")</f>
        <v>0.15858091605910354</v>
      </c>
    </row>
    <row r="24" spans="1:11" s="2" customFormat="1" x14ac:dyDescent="0.4">
      <c r="A24" s="2" t="s">
        <v>51</v>
      </c>
      <c r="B24" s="10"/>
      <c r="C24" s="10">
        <f>IF((B4+B5+B6+C4+C5+C6)&gt;0,('Profit &amp; Loss'!C10+'Profit &amp; Loss'!C9)*2/(B4+B5+B6+C4+C5+C6),"")</f>
        <v>0.18676607402733864</v>
      </c>
      <c r="D24" s="10">
        <f>IF((C4+C5+C6+D4+D5+D6)&gt;0,('Profit &amp; Loss'!D10+'Profit &amp; Loss'!D9)*2/(C4+C5+C6+D4+D5+D6),"")</f>
        <v>0.16948948206067221</v>
      </c>
      <c r="E24" s="10">
        <f>IF((D4+D5+D6+E4+E5+E6)&gt;0,('Profit &amp; Loss'!E10+'Profit &amp; Loss'!E9)*2/(D4+D5+D6+E4+E5+E6),"")</f>
        <v>0.19157576476167892</v>
      </c>
      <c r="F24" s="10">
        <f>IF((E4+E5+E6+F4+F5+F6)&gt;0,('Profit &amp; Loss'!F10+'Profit &amp; Loss'!F9)*2/(E4+E5+E6+F4+F5+F6),"")</f>
        <v>0.19761366662861923</v>
      </c>
      <c r="G24" s="10">
        <f>IF((F4+F5+F6+G4+G5+G6)&gt;0,('Profit &amp; Loss'!G10+'Profit &amp; Loss'!G9)*2/(F4+F5+F6+G4+G5+G6),"")</f>
        <v>0.22104156425592089</v>
      </c>
      <c r="H24" s="10">
        <f>IF((G4+G5+G6+H4+H5+H6)&gt;0,('Profit &amp; Loss'!H10+'Profit &amp; Loss'!H9)*2/(G4+G5+G6+H4+H5+H6),"")</f>
        <v>0.21130407291489017</v>
      </c>
      <c r="I24" s="10">
        <f>IF((H4+H5+H6+I4+I5+I6)&gt;0,('Profit &amp; Loss'!I10+'Profit &amp; Loss'!I9)*2/(H4+H5+H6+I4+I5+I6),"")</f>
        <v>0.17709947319491789</v>
      </c>
      <c r="J24" s="10">
        <f>IF((I4+I5+I6+J4+J5+J6)&gt;0,('Profit &amp; Loss'!J10+'Profit &amp; Loss'!J9)*2/(I4+I5+I6+J4+J5+J6),"")</f>
        <v>0.17124601460868003</v>
      </c>
      <c r="K24" s="10">
        <f>IF((J4+J5+J6+K4+K5+K6)&gt;0,('Profit &amp; Loss'!K10+'Profit &amp; Loss'!K9)*2/(J4+J5+J6+K4+K5+K6),"")</f>
        <v>0.19611282583483386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activeCell="E2" sqref="E2"/>
      <selection pane="topRight" activeCell="E2" sqref="E2"/>
      <selection pane="bottomLeft" activeCell="E2" sqref="E2"/>
      <selection pane="bottomRight" activeCell="E2" sqref="E2"/>
    </sheetView>
  </sheetViews>
  <sheetFormatPr defaultColWidth="8.84375" defaultRowHeight="14.6" x14ac:dyDescent="0.4"/>
  <cols>
    <col min="1" max="1" width="26.84375" bestFit="1" customWidth="1"/>
    <col min="2" max="6" width="13.4609375" customWidth="1"/>
    <col min="7" max="11" width="13.4609375" bestFit="1" customWidth="1"/>
  </cols>
  <sheetData>
    <row r="1" spans="1:11" s="2" customFormat="1" x14ac:dyDescent="0.4">
      <c r="A1" s="2" t="str">
        <f>'Balance Sheet'!A1</f>
        <v>WIPRO LTD</v>
      </c>
      <c r="E1" t="str">
        <f>UPDATE</f>
        <v/>
      </c>
      <c r="F1"/>
      <c r="J1" s="2" t="s">
        <v>1</v>
      </c>
    </row>
    <row r="3" spans="1:11" s="2" customFormat="1" x14ac:dyDescent="0.4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4">
      <c r="A4" s="2" t="s">
        <v>32</v>
      </c>
      <c r="B4" s="1">
        <f>'Data Sheet'!B82</f>
        <v>7887.3</v>
      </c>
      <c r="C4" s="1">
        <f>'Data Sheet'!C82</f>
        <v>9277.2999999999993</v>
      </c>
      <c r="D4" s="1">
        <f>'Data Sheet'!D82</f>
        <v>8423.2999999999993</v>
      </c>
      <c r="E4" s="1">
        <f>'Data Sheet'!E82</f>
        <v>11631.6</v>
      </c>
      <c r="F4" s="1">
        <f>'Data Sheet'!F82</f>
        <v>10064.299999999999</v>
      </c>
      <c r="G4" s="1">
        <f>'Data Sheet'!G82</f>
        <v>14755</v>
      </c>
      <c r="H4" s="1">
        <f>'Data Sheet'!H82</f>
        <v>11079.7</v>
      </c>
      <c r="I4" s="1">
        <f>'Data Sheet'!I82</f>
        <v>13060.1</v>
      </c>
      <c r="J4" s="1">
        <f>'Data Sheet'!J82</f>
        <v>17621.599999999999</v>
      </c>
      <c r="K4" s="1">
        <f>'Data Sheet'!K82</f>
        <v>16942.599999999999</v>
      </c>
    </row>
    <row r="5" spans="1:11" x14ac:dyDescent="0.4">
      <c r="A5" t="s">
        <v>33</v>
      </c>
      <c r="B5" s="6">
        <f>'Data Sheet'!B83</f>
        <v>-13760.7</v>
      </c>
      <c r="C5" s="6">
        <f>'Data Sheet'!C83</f>
        <v>-11769.5</v>
      </c>
      <c r="D5" s="6">
        <f>'Data Sheet'!D83</f>
        <v>3595.3</v>
      </c>
      <c r="E5" s="6">
        <f>'Data Sheet'!E83</f>
        <v>5065.2</v>
      </c>
      <c r="F5" s="6">
        <f>'Data Sheet'!F83</f>
        <v>3593.4</v>
      </c>
      <c r="G5" s="6">
        <f>'Data Sheet'!G83</f>
        <v>684.9</v>
      </c>
      <c r="H5" s="6">
        <f>'Data Sheet'!H83</f>
        <v>-22321.3</v>
      </c>
      <c r="I5" s="6">
        <f>'Data Sheet'!I83</f>
        <v>-8169.2</v>
      </c>
      <c r="J5" s="6">
        <f>'Data Sheet'!J83</f>
        <v>1144.0999999999999</v>
      </c>
      <c r="K5" s="6">
        <f>'Data Sheet'!K83</f>
        <v>-8044</v>
      </c>
    </row>
    <row r="6" spans="1:11" x14ac:dyDescent="0.4">
      <c r="A6" t="s">
        <v>34</v>
      </c>
      <c r="B6" s="6">
        <f>'Data Sheet'!B84</f>
        <v>-158.69999999999999</v>
      </c>
      <c r="C6" s="6">
        <f>'Data Sheet'!C84</f>
        <v>-2275.1999999999998</v>
      </c>
      <c r="D6" s="6">
        <f>'Data Sheet'!D84</f>
        <v>-12997.8</v>
      </c>
      <c r="E6" s="6">
        <f>'Data Sheet'!E84</f>
        <v>-4936.8999999999996</v>
      </c>
      <c r="F6" s="6">
        <f>'Data Sheet'!F84</f>
        <v>-15099.8</v>
      </c>
      <c r="G6" s="6">
        <f>'Data Sheet'!G84</f>
        <v>-12884</v>
      </c>
      <c r="H6" s="6">
        <f>'Data Sheet'!H84</f>
        <v>4658.6000000000004</v>
      </c>
      <c r="I6" s="6">
        <f>'Data Sheet'!I84</f>
        <v>-6088.1</v>
      </c>
      <c r="J6" s="6">
        <f>'Data Sheet'!J84</f>
        <v>-18256.7</v>
      </c>
      <c r="K6" s="6">
        <f>'Data Sheet'!K84</f>
        <v>-6396.3</v>
      </c>
    </row>
    <row r="7" spans="1:11" s="2" customFormat="1" x14ac:dyDescent="0.4">
      <c r="A7" s="2" t="s">
        <v>35</v>
      </c>
      <c r="B7" s="1">
        <f>'Data Sheet'!B85</f>
        <v>-6032.1</v>
      </c>
      <c r="C7" s="1">
        <f>'Data Sheet'!C85</f>
        <v>-4767.3999999999996</v>
      </c>
      <c r="D7" s="1">
        <f>'Data Sheet'!D85</f>
        <v>-979.2</v>
      </c>
      <c r="E7" s="1">
        <f>'Data Sheet'!E85</f>
        <v>11759.9</v>
      </c>
      <c r="F7" s="1">
        <f>'Data Sheet'!F85</f>
        <v>-1442.1</v>
      </c>
      <c r="G7" s="1">
        <f>'Data Sheet'!G85</f>
        <v>2555.9</v>
      </c>
      <c r="H7" s="1">
        <f>'Data Sheet'!H85</f>
        <v>-6583</v>
      </c>
      <c r="I7" s="1">
        <f>'Data Sheet'!I85</f>
        <v>-1197.2</v>
      </c>
      <c r="J7" s="1">
        <f>'Data Sheet'!J85</f>
        <v>509</v>
      </c>
      <c r="K7" s="1">
        <f>'Data Sheet'!K85</f>
        <v>2502.3000000000002</v>
      </c>
    </row>
    <row r="8" spans="1:11" x14ac:dyDescent="0.4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"/>
  <sheetViews>
    <sheetView zoomScale="120" zoomScaleNormal="120" zoomScalePageLayoutView="120" workbookViewId="0">
      <pane xSplit="1" ySplit="1" topLeftCell="E13" activePane="bottomRight" state="frozen"/>
      <selection activeCell="E2" sqref="E2"/>
      <selection pane="topRight" activeCell="E2" sqref="E2"/>
      <selection pane="bottomLeft" activeCell="E2" sqref="E2"/>
      <selection pane="bottomRight" activeCell="F27" sqref="F27:K27"/>
    </sheetView>
  </sheetViews>
  <sheetFormatPr defaultColWidth="8.84375" defaultRowHeight="14.6" x14ac:dyDescent="0.4"/>
  <cols>
    <col min="1" max="1" width="27.69140625" style="4" bestFit="1" customWidth="1"/>
    <col min="2" max="11" width="13.4609375" style="4" bestFit="1" customWidth="1"/>
    <col min="12" max="16384" width="8.84375" style="4"/>
  </cols>
  <sheetData>
    <row r="1" spans="1:11" s="1" customFormat="1" x14ac:dyDescent="0.4">
      <c r="A1" s="1" t="s">
        <v>0</v>
      </c>
      <c r="B1" s="1" t="s">
        <v>54</v>
      </c>
      <c r="E1" s="35" t="str">
        <f>IF(B2&lt;&gt;B3, "A NEW VERSION OF THE WORKSHEET IS AVAILABLE", "")</f>
        <v/>
      </c>
      <c r="F1" s="35"/>
      <c r="G1" s="35"/>
      <c r="H1" s="35"/>
      <c r="I1" s="35"/>
      <c r="J1" s="35"/>
      <c r="K1" s="35"/>
    </row>
    <row r="2" spans="1:11" x14ac:dyDescent="0.4">
      <c r="A2" s="1" t="s">
        <v>52</v>
      </c>
      <c r="B2" s="4">
        <v>2.1</v>
      </c>
      <c r="E2" s="36" t="s">
        <v>36</v>
      </c>
      <c r="F2" s="36"/>
      <c r="G2" s="36"/>
      <c r="H2" s="36"/>
      <c r="I2" s="36"/>
      <c r="J2" s="36"/>
      <c r="K2" s="36"/>
    </row>
    <row r="3" spans="1:11" x14ac:dyDescent="0.4">
      <c r="A3" s="1" t="s">
        <v>53</v>
      </c>
      <c r="B3" s="4">
        <v>2.1</v>
      </c>
    </row>
    <row r="4" spans="1:11" x14ac:dyDescent="0.4">
      <c r="A4" s="1"/>
    </row>
    <row r="5" spans="1:11" x14ac:dyDescent="0.4">
      <c r="A5" s="1" t="s">
        <v>55</v>
      </c>
    </row>
    <row r="6" spans="1:11" x14ac:dyDescent="0.4">
      <c r="A6" s="4" t="s">
        <v>42</v>
      </c>
      <c r="B6" s="4">
        <f>IF(B9&gt;0, B9/B8, 0)</f>
        <v>1048.6888515406163</v>
      </c>
    </row>
    <row r="7" spans="1:11" x14ac:dyDescent="0.4">
      <c r="A7" s="4" t="s">
        <v>31</v>
      </c>
      <c r="B7">
        <v>2</v>
      </c>
    </row>
    <row r="8" spans="1:11" x14ac:dyDescent="0.4">
      <c r="A8" s="4" t="s">
        <v>43</v>
      </c>
      <c r="B8">
        <v>267.75</v>
      </c>
    </row>
    <row r="9" spans="1:11" x14ac:dyDescent="0.4">
      <c r="A9" s="4" t="s">
        <v>70</v>
      </c>
      <c r="B9">
        <v>280786.44</v>
      </c>
    </row>
    <row r="15" spans="1:11" x14ac:dyDescent="0.4">
      <c r="A15" s="1" t="s">
        <v>37</v>
      </c>
    </row>
    <row r="16" spans="1:11" s="18" customFormat="1" x14ac:dyDescent="0.4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4">
      <c r="A17" s="6" t="s">
        <v>6</v>
      </c>
      <c r="B17">
        <v>51244</v>
      </c>
      <c r="C17">
        <v>55448.4</v>
      </c>
      <c r="D17">
        <v>54487.1</v>
      </c>
      <c r="E17">
        <v>59018.9</v>
      </c>
      <c r="F17">
        <v>61137.599999999999</v>
      </c>
      <c r="G17">
        <v>61934.9</v>
      </c>
      <c r="H17">
        <v>79312</v>
      </c>
      <c r="I17">
        <v>90487.6</v>
      </c>
      <c r="J17">
        <v>89760.3</v>
      </c>
      <c r="K17">
        <v>89088.4</v>
      </c>
    </row>
    <row r="18" spans="1:11" s="6" customFormat="1" x14ac:dyDescent="0.4">
      <c r="A18" s="4" t="s">
        <v>71</v>
      </c>
      <c r="B18">
        <v>3055.4</v>
      </c>
      <c r="C18">
        <v>2556</v>
      </c>
      <c r="D18">
        <v>1843.4</v>
      </c>
      <c r="E18">
        <v>1407.3</v>
      </c>
      <c r="F18">
        <v>936</v>
      </c>
      <c r="G18">
        <v>695.7</v>
      </c>
      <c r="H18">
        <v>673.5</v>
      </c>
      <c r="I18">
        <v>649.4</v>
      </c>
    </row>
    <row r="19" spans="1:11" s="6" customFormat="1" x14ac:dyDescent="0.4">
      <c r="A19" s="4" t="s">
        <v>72</v>
      </c>
      <c r="B19">
        <v>60.5</v>
      </c>
      <c r="C19">
        <v>-141.1</v>
      </c>
      <c r="D19">
        <v>-50.5</v>
      </c>
      <c r="E19">
        <v>67.3</v>
      </c>
      <c r="F19">
        <v>-202.2</v>
      </c>
      <c r="G19">
        <v>-31.5</v>
      </c>
      <c r="H19">
        <v>36.9</v>
      </c>
      <c r="I19">
        <v>-15</v>
      </c>
    </row>
    <row r="20" spans="1:11" s="6" customFormat="1" x14ac:dyDescent="0.4">
      <c r="A20" s="4" t="s">
        <v>73</v>
      </c>
    </row>
    <row r="21" spans="1:11" s="6" customFormat="1" x14ac:dyDescent="0.4">
      <c r="A21" s="4" t="s">
        <v>74</v>
      </c>
      <c r="H21">
        <v>12186.8</v>
      </c>
      <c r="I21">
        <v>13396.4</v>
      </c>
      <c r="J21">
        <v>75702.100000000006</v>
      </c>
      <c r="K21">
        <v>74045.8</v>
      </c>
    </row>
    <row r="22" spans="1:11" s="6" customFormat="1" x14ac:dyDescent="0.4">
      <c r="A22" s="4" t="s">
        <v>75</v>
      </c>
      <c r="B22">
        <v>24553.4</v>
      </c>
      <c r="C22">
        <v>26808.1</v>
      </c>
      <c r="D22">
        <v>27222.3</v>
      </c>
      <c r="E22">
        <v>29977.4</v>
      </c>
      <c r="F22">
        <v>32657.1</v>
      </c>
      <c r="G22">
        <v>33237.1</v>
      </c>
      <c r="H22">
        <v>45007.5</v>
      </c>
      <c r="I22">
        <v>53764.4</v>
      </c>
      <c r="J22">
        <v>54930.1</v>
      </c>
      <c r="K22">
        <v>53347.7</v>
      </c>
    </row>
    <row r="23" spans="1:11" s="6" customFormat="1" x14ac:dyDescent="0.4">
      <c r="A23" s="4" t="s">
        <v>76</v>
      </c>
      <c r="B23">
        <v>10517.7</v>
      </c>
      <c r="C23">
        <v>13775.7</v>
      </c>
      <c r="D23">
        <v>13853.3</v>
      </c>
      <c r="E23">
        <v>14796.3</v>
      </c>
      <c r="F23">
        <v>14350.4</v>
      </c>
      <c r="G23">
        <v>12523.8</v>
      </c>
      <c r="H23">
        <v>4665.3999999999996</v>
      </c>
      <c r="I23">
        <v>5599.2</v>
      </c>
      <c r="J23">
        <v>-57785.4</v>
      </c>
      <c r="K23">
        <v>-56313.3</v>
      </c>
    </row>
    <row r="24" spans="1:11" s="6" customFormat="1" x14ac:dyDescent="0.4">
      <c r="A24" s="4" t="s">
        <v>77</v>
      </c>
      <c r="B24">
        <v>2382.1999999999998</v>
      </c>
      <c r="C24">
        <v>846.6</v>
      </c>
      <c r="D24">
        <v>1130.5</v>
      </c>
      <c r="E24">
        <v>1292.5999999999999</v>
      </c>
      <c r="F24">
        <v>649.6</v>
      </c>
      <c r="G24">
        <v>675.4</v>
      </c>
      <c r="H24">
        <v>131.5</v>
      </c>
      <c r="I24">
        <v>224.2</v>
      </c>
      <c r="J24">
        <v>161</v>
      </c>
      <c r="K24">
        <v>-13</v>
      </c>
    </row>
    <row r="25" spans="1:11" s="6" customFormat="1" x14ac:dyDescent="0.4">
      <c r="A25" s="6" t="s">
        <v>9</v>
      </c>
      <c r="B25">
        <v>2752.2</v>
      </c>
      <c r="C25">
        <v>2622.6</v>
      </c>
      <c r="D25">
        <v>2549.8000000000002</v>
      </c>
      <c r="E25">
        <v>2613.8000000000002</v>
      </c>
      <c r="F25">
        <v>2727.9</v>
      </c>
      <c r="G25">
        <v>2403.6999999999998</v>
      </c>
      <c r="H25">
        <v>2066.9</v>
      </c>
      <c r="I25">
        <v>2274.6</v>
      </c>
      <c r="J25">
        <v>2630.8</v>
      </c>
      <c r="K25">
        <v>3909.4</v>
      </c>
    </row>
    <row r="26" spans="1:11" s="6" customFormat="1" x14ac:dyDescent="0.4">
      <c r="A26" s="6" t="s">
        <v>10</v>
      </c>
      <c r="B26">
        <v>1496.1</v>
      </c>
      <c r="C26">
        <v>2310</v>
      </c>
      <c r="D26">
        <v>2111.6999999999998</v>
      </c>
      <c r="E26">
        <v>1946.7</v>
      </c>
      <c r="F26">
        <v>2085.5</v>
      </c>
      <c r="G26">
        <v>2763.4</v>
      </c>
      <c r="H26">
        <v>3077.8</v>
      </c>
      <c r="I26">
        <v>3340.2</v>
      </c>
      <c r="J26">
        <v>3407.1</v>
      </c>
      <c r="K26">
        <v>2957.9</v>
      </c>
    </row>
    <row r="27" spans="1:11" s="6" customFormat="1" x14ac:dyDescent="0.4">
      <c r="A27" s="6" t="s">
        <v>11</v>
      </c>
      <c r="B27">
        <v>558.20000000000005</v>
      </c>
      <c r="C27">
        <v>594.20000000000005</v>
      </c>
      <c r="D27">
        <v>583</v>
      </c>
      <c r="E27">
        <v>737.5</v>
      </c>
      <c r="F27">
        <v>732.8</v>
      </c>
      <c r="G27">
        <v>508.8</v>
      </c>
      <c r="H27">
        <v>532.5</v>
      </c>
      <c r="I27">
        <v>1007.7</v>
      </c>
      <c r="J27">
        <v>1255.2</v>
      </c>
      <c r="K27">
        <v>1477</v>
      </c>
    </row>
    <row r="28" spans="1:11" s="6" customFormat="1" x14ac:dyDescent="0.4">
      <c r="A28" s="6" t="s">
        <v>12</v>
      </c>
      <c r="B28">
        <v>11493.7</v>
      </c>
      <c r="C28">
        <v>11039.3</v>
      </c>
      <c r="D28">
        <v>10242.200000000001</v>
      </c>
      <c r="E28">
        <v>11542.2</v>
      </c>
      <c r="F28">
        <v>12251.9</v>
      </c>
      <c r="G28">
        <v>13902.9</v>
      </c>
      <c r="H28">
        <v>15140.8</v>
      </c>
      <c r="I28">
        <v>14765.7</v>
      </c>
      <c r="J28">
        <v>14721</v>
      </c>
      <c r="K28">
        <v>17495.7</v>
      </c>
    </row>
    <row r="29" spans="1:11" s="6" customFormat="1" x14ac:dyDescent="0.4">
      <c r="A29" s="6" t="s">
        <v>13</v>
      </c>
      <c r="B29">
        <v>2536.6</v>
      </c>
      <c r="C29">
        <v>2521.4</v>
      </c>
      <c r="D29">
        <v>2239.1</v>
      </c>
      <c r="E29">
        <v>2524.3000000000002</v>
      </c>
      <c r="F29">
        <v>2480.1</v>
      </c>
      <c r="G29">
        <v>3034.9</v>
      </c>
      <c r="H29">
        <v>2897.4</v>
      </c>
      <c r="I29">
        <v>3399.2</v>
      </c>
      <c r="J29">
        <v>3608.9</v>
      </c>
      <c r="K29">
        <v>4277.7</v>
      </c>
    </row>
    <row r="30" spans="1:11" s="6" customFormat="1" x14ac:dyDescent="0.4">
      <c r="A30" s="6" t="s">
        <v>14</v>
      </c>
      <c r="B30">
        <v>8907.9</v>
      </c>
      <c r="C30">
        <v>8493.1</v>
      </c>
      <c r="D30">
        <v>8002.8</v>
      </c>
      <c r="E30">
        <v>9003.7000000000007</v>
      </c>
      <c r="F30">
        <v>9722.2999999999993</v>
      </c>
      <c r="G30">
        <v>10796.4</v>
      </c>
      <c r="H30">
        <v>12229.6</v>
      </c>
      <c r="I30">
        <v>11350</v>
      </c>
      <c r="J30">
        <v>11045.2</v>
      </c>
      <c r="K30">
        <v>13135.4</v>
      </c>
    </row>
    <row r="31" spans="1:11" s="6" customFormat="1" x14ac:dyDescent="0.4">
      <c r="A31" s="6" t="s">
        <v>61</v>
      </c>
      <c r="B31">
        <v>1482.3</v>
      </c>
      <c r="C31">
        <v>486.1</v>
      </c>
      <c r="D31">
        <v>452.4</v>
      </c>
      <c r="E31">
        <v>603.4</v>
      </c>
      <c r="F31">
        <v>571.35</v>
      </c>
      <c r="G31">
        <v>547.9</v>
      </c>
      <c r="H31">
        <v>3289.2</v>
      </c>
      <c r="I31">
        <v>548.79999999999995</v>
      </c>
      <c r="J31">
        <v>522.5</v>
      </c>
      <c r="K31">
        <v>6283.2</v>
      </c>
    </row>
    <row r="32" spans="1:11" s="6" customFormat="1" x14ac:dyDescent="0.4"/>
    <row r="33" spans="1:11" x14ac:dyDescent="0.4">
      <c r="A33" s="6"/>
    </row>
    <row r="34" spans="1:11" x14ac:dyDescent="0.4">
      <c r="A34" s="6"/>
    </row>
    <row r="35" spans="1:11" x14ac:dyDescent="0.4">
      <c r="A35" s="6"/>
    </row>
    <row r="36" spans="1:11" x14ac:dyDescent="0.4">
      <c r="A36" s="6"/>
    </row>
    <row r="37" spans="1:11" x14ac:dyDescent="0.4">
      <c r="A37" s="6"/>
    </row>
    <row r="38" spans="1:11" x14ac:dyDescent="0.4">
      <c r="A38" s="6"/>
    </row>
    <row r="39" spans="1:11" x14ac:dyDescent="0.4">
      <c r="A39" s="6"/>
    </row>
    <row r="40" spans="1:11" x14ac:dyDescent="0.4">
      <c r="A40" s="1" t="s">
        <v>39</v>
      </c>
    </row>
    <row r="41" spans="1:11" s="18" customFormat="1" x14ac:dyDescent="0.4">
      <c r="A41" s="17" t="s">
        <v>38</v>
      </c>
      <c r="B41" s="12">
        <v>45107</v>
      </c>
      <c r="C41" s="12">
        <v>45199</v>
      </c>
      <c r="D41" s="12">
        <v>45291</v>
      </c>
      <c r="E41" s="12">
        <v>45382</v>
      </c>
      <c r="F41" s="12">
        <v>45473</v>
      </c>
      <c r="G41" s="12">
        <v>45565</v>
      </c>
      <c r="H41" s="12">
        <v>45657</v>
      </c>
      <c r="I41" s="12">
        <v>45747</v>
      </c>
      <c r="J41" s="12">
        <v>45838</v>
      </c>
      <c r="K41" s="12">
        <v>45930</v>
      </c>
    </row>
    <row r="42" spans="1:11" s="6" customFormat="1" x14ac:dyDescent="0.4">
      <c r="A42" s="6" t="s">
        <v>6</v>
      </c>
      <c r="B42">
        <v>22831</v>
      </c>
      <c r="C42">
        <v>22515.9</v>
      </c>
      <c r="D42">
        <v>22205.1</v>
      </c>
      <c r="E42">
        <v>22208.3</v>
      </c>
      <c r="F42">
        <v>21963.8</v>
      </c>
      <c r="G42">
        <v>22301.599999999999</v>
      </c>
      <c r="H42">
        <v>22318.799999999999</v>
      </c>
      <c r="I42">
        <v>22504.2</v>
      </c>
      <c r="J42">
        <v>22134.6</v>
      </c>
      <c r="K42">
        <v>22697.3</v>
      </c>
    </row>
    <row r="43" spans="1:11" s="6" customFormat="1" x14ac:dyDescent="0.4">
      <c r="A43" s="6" t="s">
        <v>7</v>
      </c>
      <c r="B43">
        <v>18627.400000000001</v>
      </c>
      <c r="C43">
        <v>18546.2</v>
      </c>
      <c r="D43">
        <v>18006.8</v>
      </c>
      <c r="E43">
        <v>17827.7</v>
      </c>
      <c r="F43">
        <v>17614.2</v>
      </c>
      <c r="G43">
        <v>17798.3</v>
      </c>
      <c r="H43">
        <v>17779</v>
      </c>
      <c r="I43">
        <v>17880.2</v>
      </c>
      <c r="J43">
        <v>17901.5</v>
      </c>
      <c r="K43">
        <v>18324.900000000001</v>
      </c>
    </row>
    <row r="44" spans="1:11" s="6" customFormat="1" x14ac:dyDescent="0.4">
      <c r="A44" s="6" t="s">
        <v>9</v>
      </c>
      <c r="B44">
        <v>640.5</v>
      </c>
      <c r="C44">
        <v>739.8</v>
      </c>
      <c r="D44">
        <v>597.9</v>
      </c>
      <c r="E44">
        <v>652.9</v>
      </c>
      <c r="F44">
        <v>729.7</v>
      </c>
      <c r="G44">
        <v>962.2</v>
      </c>
      <c r="H44">
        <v>1004.6</v>
      </c>
      <c r="I44">
        <v>1217.4000000000001</v>
      </c>
      <c r="J44">
        <v>1071.5</v>
      </c>
      <c r="K44">
        <v>962.9</v>
      </c>
    </row>
    <row r="45" spans="1:11" s="6" customFormat="1" x14ac:dyDescent="0.4">
      <c r="A45" s="6" t="s">
        <v>10</v>
      </c>
      <c r="B45">
        <v>738</v>
      </c>
      <c r="C45">
        <v>897</v>
      </c>
      <c r="D45">
        <v>931.6</v>
      </c>
      <c r="E45">
        <v>840.5</v>
      </c>
      <c r="F45">
        <v>728.9</v>
      </c>
      <c r="G45">
        <v>830.8</v>
      </c>
      <c r="H45">
        <v>676.5</v>
      </c>
      <c r="I45">
        <v>721.7</v>
      </c>
      <c r="J45">
        <v>685.5</v>
      </c>
      <c r="K45">
        <v>691.7</v>
      </c>
    </row>
    <row r="46" spans="1:11" s="6" customFormat="1" x14ac:dyDescent="0.4">
      <c r="A46" s="6" t="s">
        <v>11</v>
      </c>
      <c r="B46">
        <v>308.60000000000002</v>
      </c>
      <c r="C46">
        <v>303.3</v>
      </c>
      <c r="D46">
        <v>312.5</v>
      </c>
      <c r="E46">
        <v>330.8</v>
      </c>
      <c r="F46">
        <v>328.8</v>
      </c>
      <c r="G46">
        <v>356.9</v>
      </c>
      <c r="H46">
        <v>414.6</v>
      </c>
      <c r="I46">
        <v>376.7</v>
      </c>
      <c r="J46">
        <v>360.8</v>
      </c>
      <c r="K46">
        <v>361.2</v>
      </c>
    </row>
    <row r="47" spans="1:11" s="6" customFormat="1" x14ac:dyDescent="0.4">
      <c r="A47" s="6" t="s">
        <v>12</v>
      </c>
      <c r="B47">
        <v>3797.5</v>
      </c>
      <c r="C47">
        <v>3509.2</v>
      </c>
      <c r="D47">
        <v>3552.1</v>
      </c>
      <c r="E47">
        <v>3862.2</v>
      </c>
      <c r="F47">
        <v>4021.6</v>
      </c>
      <c r="G47">
        <v>4277.8</v>
      </c>
      <c r="H47">
        <v>4453.3</v>
      </c>
      <c r="I47">
        <v>4743</v>
      </c>
      <c r="J47">
        <v>4258.3</v>
      </c>
      <c r="K47">
        <v>4282.3999999999996</v>
      </c>
    </row>
    <row r="48" spans="1:11" s="6" customFormat="1" x14ac:dyDescent="0.4">
      <c r="A48" s="6" t="s">
        <v>13</v>
      </c>
      <c r="B48">
        <v>911.5</v>
      </c>
      <c r="C48">
        <v>841.9</v>
      </c>
      <c r="D48">
        <v>851.5</v>
      </c>
      <c r="E48">
        <v>1004</v>
      </c>
      <c r="F48">
        <v>985</v>
      </c>
      <c r="G48">
        <v>1051.2</v>
      </c>
      <c r="H48">
        <v>1086.5999999999999</v>
      </c>
      <c r="I48">
        <v>1154.9000000000001</v>
      </c>
      <c r="J48">
        <v>921.8</v>
      </c>
      <c r="K48">
        <v>1020</v>
      </c>
    </row>
    <row r="49" spans="1:11" s="6" customFormat="1" x14ac:dyDescent="0.4">
      <c r="A49" s="6" t="s">
        <v>14</v>
      </c>
      <c r="B49">
        <v>2870.1</v>
      </c>
      <c r="C49">
        <v>2646.3</v>
      </c>
      <c r="D49">
        <v>2694.2</v>
      </c>
      <c r="E49">
        <v>2834.6</v>
      </c>
      <c r="F49">
        <v>3003.2</v>
      </c>
      <c r="G49">
        <v>3208.8</v>
      </c>
      <c r="H49">
        <v>3353.8</v>
      </c>
      <c r="I49">
        <v>3569.6</v>
      </c>
      <c r="J49">
        <v>3330.4</v>
      </c>
      <c r="K49">
        <v>3246.2</v>
      </c>
    </row>
    <row r="50" spans="1:11" x14ac:dyDescent="0.4">
      <c r="A50" s="6" t="s">
        <v>8</v>
      </c>
      <c r="B50">
        <v>4203.6000000000004</v>
      </c>
      <c r="C50">
        <v>3969.7</v>
      </c>
      <c r="D50">
        <v>4198.3</v>
      </c>
      <c r="E50">
        <v>4380.6000000000004</v>
      </c>
      <c r="F50">
        <v>4349.6000000000004</v>
      </c>
      <c r="G50">
        <v>4503.3</v>
      </c>
      <c r="H50">
        <v>4539.8</v>
      </c>
      <c r="I50">
        <v>4624</v>
      </c>
      <c r="J50">
        <v>4233.1000000000004</v>
      </c>
      <c r="K50">
        <v>4372.3999999999996</v>
      </c>
    </row>
    <row r="51" spans="1:11" x14ac:dyDescent="0.4">
      <c r="A51" s="6"/>
    </row>
    <row r="52" spans="1:11" x14ac:dyDescent="0.4">
      <c r="A52" s="6"/>
    </row>
    <row r="53" spans="1:11" x14ac:dyDescent="0.4">
      <c r="A53" s="6"/>
    </row>
    <row r="54" spans="1:11" x14ac:dyDescent="0.4">
      <c r="A54" s="6"/>
    </row>
    <row r="55" spans="1:11" x14ac:dyDescent="0.4">
      <c r="A55" s="1" t="s">
        <v>40</v>
      </c>
    </row>
    <row r="56" spans="1:11" s="18" customFormat="1" x14ac:dyDescent="0.4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4">
      <c r="A57" s="6" t="s">
        <v>24</v>
      </c>
      <c r="B57">
        <v>494.1</v>
      </c>
      <c r="C57">
        <v>486.1</v>
      </c>
      <c r="D57">
        <v>904.8</v>
      </c>
      <c r="E57">
        <v>1206.8</v>
      </c>
      <c r="F57">
        <v>1142.7</v>
      </c>
      <c r="G57">
        <v>1095.8</v>
      </c>
      <c r="H57">
        <v>1096.4000000000001</v>
      </c>
      <c r="I57">
        <v>1097.5999999999999</v>
      </c>
      <c r="J57">
        <v>1045</v>
      </c>
      <c r="K57">
        <v>2094.4</v>
      </c>
    </row>
    <row r="58" spans="1:11" x14ac:dyDescent="0.4">
      <c r="A58" s="6" t="s">
        <v>25</v>
      </c>
      <c r="B58">
        <v>45650.7</v>
      </c>
      <c r="C58">
        <v>51184.1</v>
      </c>
      <c r="D58">
        <v>47021.5</v>
      </c>
      <c r="E58">
        <v>55215.8</v>
      </c>
      <c r="F58">
        <v>54179</v>
      </c>
      <c r="G58">
        <v>53805.2</v>
      </c>
      <c r="H58">
        <v>64306.6</v>
      </c>
      <c r="I58">
        <v>76570.3</v>
      </c>
      <c r="J58">
        <v>73943.3</v>
      </c>
      <c r="K58">
        <v>80736.5</v>
      </c>
    </row>
    <row r="59" spans="1:11" x14ac:dyDescent="0.4">
      <c r="A59" s="6" t="s">
        <v>62</v>
      </c>
      <c r="B59">
        <v>12522.1</v>
      </c>
      <c r="C59">
        <v>14241.2</v>
      </c>
      <c r="D59">
        <v>13901.2</v>
      </c>
      <c r="E59">
        <v>9946.7000000000007</v>
      </c>
      <c r="F59">
        <v>9724</v>
      </c>
      <c r="G59">
        <v>10451.4</v>
      </c>
      <c r="H59">
        <v>17592.900000000001</v>
      </c>
      <c r="I59">
        <v>17466.599999999999</v>
      </c>
      <c r="J59">
        <v>16464.900000000001</v>
      </c>
      <c r="K59">
        <v>19203.5</v>
      </c>
    </row>
    <row r="60" spans="1:11" x14ac:dyDescent="0.4">
      <c r="A60" s="6" t="s">
        <v>63</v>
      </c>
      <c r="B60">
        <v>12923.5</v>
      </c>
      <c r="C60">
        <v>12760.8</v>
      </c>
      <c r="D60">
        <v>13563.3</v>
      </c>
      <c r="E60">
        <v>16217.1</v>
      </c>
      <c r="F60">
        <v>15953.9</v>
      </c>
      <c r="G60">
        <v>17213.400000000001</v>
      </c>
      <c r="H60">
        <v>24279.7</v>
      </c>
      <c r="I60">
        <v>21789.200000000001</v>
      </c>
      <c r="J60">
        <v>23611</v>
      </c>
      <c r="K60">
        <v>26361.5</v>
      </c>
    </row>
    <row r="61" spans="1:11" s="1" customFormat="1" x14ac:dyDescent="0.4">
      <c r="A61" s="1" t="s">
        <v>26</v>
      </c>
      <c r="B61">
        <v>71590.399999999994</v>
      </c>
      <c r="C61">
        <v>78672.2</v>
      </c>
      <c r="D61">
        <v>75390.8</v>
      </c>
      <c r="E61">
        <v>82586.399999999994</v>
      </c>
      <c r="F61">
        <v>80999.600000000006</v>
      </c>
      <c r="G61">
        <v>82565.8</v>
      </c>
      <c r="H61">
        <v>107275.6</v>
      </c>
      <c r="I61">
        <v>116923.7</v>
      </c>
      <c r="J61">
        <v>115064.2</v>
      </c>
      <c r="K61">
        <v>128395.9</v>
      </c>
    </row>
    <row r="62" spans="1:11" x14ac:dyDescent="0.4">
      <c r="A62" s="6" t="s">
        <v>27</v>
      </c>
      <c r="B62">
        <v>17279.099999999999</v>
      </c>
      <c r="C62">
        <v>19886.5</v>
      </c>
      <c r="D62">
        <v>18126.7</v>
      </c>
      <c r="E62">
        <v>17464.7</v>
      </c>
      <c r="F62">
        <v>22062.1</v>
      </c>
      <c r="G62">
        <v>23040.3</v>
      </c>
      <c r="H62">
        <v>37989.599999999999</v>
      </c>
      <c r="I62">
        <v>44756.800000000003</v>
      </c>
      <c r="J62">
        <v>44083.3</v>
      </c>
      <c r="K62">
        <v>45653.5</v>
      </c>
    </row>
    <row r="63" spans="1:11" x14ac:dyDescent="0.4">
      <c r="A63" s="6" t="s">
        <v>28</v>
      </c>
      <c r="B63">
        <v>380.6</v>
      </c>
      <c r="C63">
        <v>737.7</v>
      </c>
      <c r="D63">
        <v>1377.7</v>
      </c>
      <c r="E63">
        <v>2141.8000000000002</v>
      </c>
      <c r="F63">
        <v>1881.1</v>
      </c>
      <c r="G63">
        <v>1853.2</v>
      </c>
      <c r="H63">
        <v>1601.5</v>
      </c>
      <c r="I63">
        <v>617.1</v>
      </c>
      <c r="J63">
        <v>748</v>
      </c>
      <c r="K63">
        <v>221.1</v>
      </c>
    </row>
    <row r="64" spans="1:11" x14ac:dyDescent="0.4">
      <c r="A64" s="6" t="s">
        <v>29</v>
      </c>
      <c r="B64">
        <v>20915.099999999999</v>
      </c>
      <c r="C64">
        <v>29913.3</v>
      </c>
      <c r="D64">
        <v>25796.799999999999</v>
      </c>
      <c r="E64">
        <v>22886.7</v>
      </c>
      <c r="F64">
        <v>20032</v>
      </c>
      <c r="G64">
        <v>18774.7</v>
      </c>
      <c r="H64">
        <v>26153.8</v>
      </c>
      <c r="I64">
        <v>33073.199999999997</v>
      </c>
      <c r="J64">
        <v>33384.400000000001</v>
      </c>
      <c r="K64">
        <v>43925.9</v>
      </c>
    </row>
    <row r="65" spans="1:12" x14ac:dyDescent="0.4">
      <c r="A65" s="6" t="s">
        <v>64</v>
      </c>
      <c r="B65">
        <v>33015.599999999999</v>
      </c>
      <c r="C65">
        <v>28134.7</v>
      </c>
      <c r="D65">
        <v>30089.599999999999</v>
      </c>
      <c r="E65">
        <v>40093.199999999997</v>
      </c>
      <c r="F65">
        <v>37024.400000000001</v>
      </c>
      <c r="G65">
        <v>38897.599999999999</v>
      </c>
      <c r="H65">
        <v>41530.699999999997</v>
      </c>
      <c r="I65">
        <v>38476.6</v>
      </c>
      <c r="J65">
        <v>36848.5</v>
      </c>
      <c r="K65">
        <v>38595.4</v>
      </c>
    </row>
    <row r="66" spans="1:12" s="1" customFormat="1" x14ac:dyDescent="0.4">
      <c r="A66" s="1" t="s">
        <v>26</v>
      </c>
      <c r="B66">
        <v>71590.399999999994</v>
      </c>
      <c r="C66">
        <v>78672.2</v>
      </c>
      <c r="D66">
        <v>75390.8</v>
      </c>
      <c r="E66">
        <v>82586.399999999994</v>
      </c>
      <c r="F66">
        <v>80999.600000000006</v>
      </c>
      <c r="G66">
        <v>82565.8</v>
      </c>
      <c r="H66">
        <v>107275.6</v>
      </c>
      <c r="I66">
        <v>116923.7</v>
      </c>
      <c r="J66">
        <v>115064.2</v>
      </c>
      <c r="K66">
        <v>128395.9</v>
      </c>
    </row>
    <row r="67" spans="1:12" s="6" customFormat="1" x14ac:dyDescent="0.4">
      <c r="A67" s="6" t="s">
        <v>69</v>
      </c>
      <c r="B67">
        <v>9961.4</v>
      </c>
      <c r="C67">
        <v>9484.6</v>
      </c>
      <c r="D67">
        <v>10099</v>
      </c>
      <c r="E67">
        <v>10048.9</v>
      </c>
      <c r="F67">
        <v>10447.4</v>
      </c>
      <c r="G67">
        <v>9429.7999999999993</v>
      </c>
      <c r="H67">
        <v>11521.9</v>
      </c>
      <c r="I67">
        <v>12635</v>
      </c>
      <c r="J67">
        <v>11547.7</v>
      </c>
      <c r="K67">
        <v>11774.5</v>
      </c>
    </row>
    <row r="68" spans="1:12" x14ac:dyDescent="0.4">
      <c r="A68" s="6" t="s">
        <v>45</v>
      </c>
      <c r="B68">
        <v>539</v>
      </c>
      <c r="C68">
        <v>391.5</v>
      </c>
      <c r="D68">
        <v>337</v>
      </c>
      <c r="E68">
        <v>395.1</v>
      </c>
      <c r="F68">
        <v>186.5</v>
      </c>
      <c r="G68">
        <v>106.4</v>
      </c>
      <c r="H68">
        <v>133.4</v>
      </c>
      <c r="I68">
        <v>118.8</v>
      </c>
      <c r="J68">
        <v>90.7</v>
      </c>
      <c r="K68">
        <v>69.400000000000006</v>
      </c>
    </row>
    <row r="69" spans="1:12" x14ac:dyDescent="0.4">
      <c r="A69" s="4" t="s">
        <v>78</v>
      </c>
      <c r="B69">
        <v>9904.9</v>
      </c>
      <c r="C69">
        <v>5271</v>
      </c>
      <c r="D69">
        <v>4492.5</v>
      </c>
      <c r="E69">
        <v>15852.9</v>
      </c>
      <c r="F69">
        <v>14449.9</v>
      </c>
      <c r="G69">
        <v>16979.3</v>
      </c>
      <c r="H69">
        <v>10383.6</v>
      </c>
      <c r="I69">
        <v>9188</v>
      </c>
      <c r="J69">
        <v>9695.2999999999993</v>
      </c>
      <c r="K69">
        <v>12197.4</v>
      </c>
    </row>
    <row r="70" spans="1:12" x14ac:dyDescent="0.4">
      <c r="A70" s="4" t="s">
        <v>65</v>
      </c>
      <c r="B70">
        <v>2470713290</v>
      </c>
      <c r="C70">
        <v>2430900565</v>
      </c>
      <c r="D70">
        <v>4523784491</v>
      </c>
      <c r="E70">
        <v>6033935388</v>
      </c>
      <c r="F70">
        <v>5713357390</v>
      </c>
      <c r="G70">
        <v>5479138555</v>
      </c>
      <c r="H70">
        <v>5482070115</v>
      </c>
      <c r="I70">
        <v>5487917741</v>
      </c>
      <c r="J70">
        <v>5225138246</v>
      </c>
      <c r="K70">
        <v>10472136049</v>
      </c>
    </row>
    <row r="71" spans="1:12" x14ac:dyDescent="0.4">
      <c r="A71" s="4" t="s">
        <v>66</v>
      </c>
      <c r="D71">
        <v>2433074327</v>
      </c>
      <c r="E71">
        <v>1508469180</v>
      </c>
    </row>
    <row r="72" spans="1:12" x14ac:dyDescent="0.4">
      <c r="A72" s="4" t="s">
        <v>79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2" x14ac:dyDescent="0.4">
      <c r="A74" s="6"/>
      <c r="E74" s="4">
        <f>SUM(E67:E69)</f>
        <v>26296.9</v>
      </c>
      <c r="F74" s="4">
        <f t="shared" ref="F74:L74" si="0">SUM(F67:F69)</f>
        <v>25083.8</v>
      </c>
      <c r="G74" s="4">
        <f t="shared" si="0"/>
        <v>26515.5</v>
      </c>
      <c r="H74" s="4">
        <f t="shared" si="0"/>
        <v>22038.9</v>
      </c>
      <c r="I74" s="4">
        <f t="shared" si="0"/>
        <v>21941.8</v>
      </c>
      <c r="J74" s="4">
        <f>SUM(J67:J69)</f>
        <v>21333.7</v>
      </c>
      <c r="K74" s="4">
        <f>SUM(K67:K69)</f>
        <v>24041.3</v>
      </c>
      <c r="L74" s="4">
        <f t="shared" si="0"/>
        <v>0</v>
      </c>
    </row>
    <row r="75" spans="1:12" x14ac:dyDescent="0.4">
      <c r="A75" s="6"/>
    </row>
    <row r="76" spans="1:12" x14ac:dyDescent="0.4">
      <c r="A76" s="6"/>
    </row>
    <row r="77" spans="1:12" x14ac:dyDescent="0.4">
      <c r="A77" s="6"/>
    </row>
    <row r="78" spans="1:12" x14ac:dyDescent="0.4">
      <c r="A78" s="6"/>
    </row>
    <row r="79" spans="1:12" x14ac:dyDescent="0.4">
      <c r="A79" s="6"/>
    </row>
    <row r="80" spans="1:12" x14ac:dyDescent="0.4">
      <c r="A80" s="1" t="s">
        <v>41</v>
      </c>
    </row>
    <row r="81" spans="1:11" s="18" customFormat="1" x14ac:dyDescent="0.4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4">
      <c r="A82" s="6" t="s">
        <v>32</v>
      </c>
      <c r="B82">
        <v>7887.3</v>
      </c>
      <c r="C82">
        <v>9277.2999999999993</v>
      </c>
      <c r="D82">
        <v>8423.2999999999993</v>
      </c>
      <c r="E82">
        <v>11631.6</v>
      </c>
      <c r="F82">
        <v>10064.299999999999</v>
      </c>
      <c r="G82">
        <v>14755</v>
      </c>
      <c r="H82">
        <v>11079.7</v>
      </c>
      <c r="I82">
        <v>13060.1</v>
      </c>
      <c r="J82">
        <v>17621.599999999999</v>
      </c>
      <c r="K82">
        <v>16942.599999999999</v>
      </c>
    </row>
    <row r="83" spans="1:11" s="6" customFormat="1" x14ac:dyDescent="0.4">
      <c r="A83" s="6" t="s">
        <v>33</v>
      </c>
      <c r="B83">
        <v>-13760.7</v>
      </c>
      <c r="C83">
        <v>-11769.5</v>
      </c>
      <c r="D83">
        <v>3595.3</v>
      </c>
      <c r="E83">
        <v>5065.2</v>
      </c>
      <c r="F83">
        <v>3593.4</v>
      </c>
      <c r="G83">
        <v>684.9</v>
      </c>
      <c r="H83">
        <v>-22321.3</v>
      </c>
      <c r="I83">
        <v>-8169.2</v>
      </c>
      <c r="J83">
        <v>1144.0999999999999</v>
      </c>
      <c r="K83">
        <v>-8044</v>
      </c>
    </row>
    <row r="84" spans="1:11" s="6" customFormat="1" x14ac:dyDescent="0.4">
      <c r="A84" s="6" t="s">
        <v>34</v>
      </c>
      <c r="B84">
        <v>-158.69999999999999</v>
      </c>
      <c r="C84">
        <v>-2275.1999999999998</v>
      </c>
      <c r="D84">
        <v>-12997.8</v>
      </c>
      <c r="E84">
        <v>-4936.8999999999996</v>
      </c>
      <c r="F84">
        <v>-15099.8</v>
      </c>
      <c r="G84">
        <v>-12884</v>
      </c>
      <c r="H84">
        <v>4658.6000000000004</v>
      </c>
      <c r="I84">
        <v>-6088.1</v>
      </c>
      <c r="J84">
        <v>-18256.7</v>
      </c>
      <c r="K84">
        <v>-6396.3</v>
      </c>
    </row>
    <row r="85" spans="1:11" s="1" customFormat="1" x14ac:dyDescent="0.4">
      <c r="A85" s="6" t="s">
        <v>35</v>
      </c>
      <c r="B85">
        <v>-6032.1</v>
      </c>
      <c r="C85">
        <v>-4767.3999999999996</v>
      </c>
      <c r="D85">
        <v>-979.2</v>
      </c>
      <c r="E85">
        <v>11759.9</v>
      </c>
      <c r="F85">
        <v>-1442.1</v>
      </c>
      <c r="G85">
        <v>2555.9</v>
      </c>
      <c r="H85">
        <v>-6583</v>
      </c>
      <c r="I85">
        <v>-1197.2</v>
      </c>
      <c r="J85">
        <v>509</v>
      </c>
      <c r="K85">
        <v>2502.3000000000002</v>
      </c>
    </row>
    <row r="86" spans="1:11" x14ac:dyDescent="0.4">
      <c r="A86" s="6"/>
    </row>
    <row r="87" spans="1:11" x14ac:dyDescent="0.4">
      <c r="A87" s="6"/>
    </row>
    <row r="88" spans="1:11" x14ac:dyDescent="0.4">
      <c r="A88" s="6"/>
    </row>
    <row r="89" spans="1:11" x14ac:dyDescent="0.4">
      <c r="A89" s="6"/>
    </row>
    <row r="90" spans="1:11" s="1" customFormat="1" x14ac:dyDescent="0.4">
      <c r="A90" s="1" t="s">
        <v>68</v>
      </c>
      <c r="B90">
        <v>105.8</v>
      </c>
      <c r="C90">
        <v>96.7</v>
      </c>
      <c r="D90">
        <v>105.44</v>
      </c>
      <c r="E90">
        <v>127.4</v>
      </c>
      <c r="F90">
        <v>98.35</v>
      </c>
      <c r="G90">
        <v>207.08</v>
      </c>
      <c r="H90">
        <v>295.95</v>
      </c>
      <c r="I90">
        <v>182.63</v>
      </c>
      <c r="J90">
        <v>240.05</v>
      </c>
      <c r="K90">
        <v>262.25</v>
      </c>
    </row>
    <row r="92" spans="1:11" s="1" customFormat="1" x14ac:dyDescent="0.4">
      <c r="A92" s="1" t="s">
        <v>67</v>
      </c>
    </row>
    <row r="93" spans="1:11" x14ac:dyDescent="0.4">
      <c r="A93" s="4" t="s">
        <v>80</v>
      </c>
      <c r="B93" s="20">
        <v>1317.7</v>
      </c>
      <c r="C93" s="20">
        <v>1296.48</v>
      </c>
      <c r="D93" s="20">
        <v>1206.3499999999999</v>
      </c>
      <c r="E93" s="20">
        <v>1206.79</v>
      </c>
      <c r="F93" s="20">
        <v>1142.67</v>
      </c>
      <c r="G93" s="20">
        <v>1095.83</v>
      </c>
      <c r="H93" s="20">
        <v>1096.4100000000001</v>
      </c>
      <c r="I93" s="20">
        <v>1097.58</v>
      </c>
      <c r="J93" s="20">
        <v>1045.03</v>
      </c>
      <c r="K93" s="20">
        <v>1047.21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FEAF-AE1E-4F23-BDD6-5CE840CB8877}">
  <dimension ref="A1:F23"/>
  <sheetViews>
    <sheetView workbookViewId="0">
      <selection activeCell="L13" sqref="L13"/>
    </sheetView>
  </sheetViews>
  <sheetFormatPr defaultRowHeight="14.15" x14ac:dyDescent="0.35"/>
  <cols>
    <col min="1" max="1" width="45" style="21" bestFit="1" customWidth="1"/>
    <col min="2" max="16384" width="9.23046875" style="21"/>
  </cols>
  <sheetData>
    <row r="1" spans="1:6" x14ac:dyDescent="0.35">
      <c r="A1" s="22" t="s">
        <v>107</v>
      </c>
      <c r="B1" s="22" t="s">
        <v>106</v>
      </c>
      <c r="C1" s="22" t="s">
        <v>105</v>
      </c>
      <c r="D1" s="22" t="s">
        <v>104</v>
      </c>
      <c r="E1" s="22" t="s">
        <v>103</v>
      </c>
      <c r="F1" s="22" t="s">
        <v>102</v>
      </c>
    </row>
    <row r="2" spans="1:6" x14ac:dyDescent="0.35">
      <c r="A2" s="21" t="s">
        <v>101</v>
      </c>
      <c r="B2" s="21">
        <v>622425</v>
      </c>
      <c r="C2" s="21">
        <v>795289</v>
      </c>
      <c r="D2" s="21">
        <v>909348</v>
      </c>
      <c r="E2" s="21">
        <v>897943</v>
      </c>
      <c r="F2" s="21">
        <v>890916</v>
      </c>
    </row>
    <row r="3" spans="1:6" x14ac:dyDescent="0.35">
      <c r="A3" s="21" t="s">
        <v>100</v>
      </c>
      <c r="B3" s="21">
        <v>150709</v>
      </c>
      <c r="C3" s="21">
        <v>171197</v>
      </c>
      <c r="D3" s="21">
        <v>173008</v>
      </c>
      <c r="E3" s="21">
        <v>170170</v>
      </c>
      <c r="F3" s="21">
        <v>180850</v>
      </c>
    </row>
    <row r="4" spans="1:6" x14ac:dyDescent="0.35">
      <c r="A4" s="21" t="s">
        <v>99</v>
      </c>
      <c r="B4" s="21">
        <v>27656</v>
      </c>
      <c r="C4" s="21">
        <v>30911</v>
      </c>
      <c r="D4" s="21">
        <v>33402</v>
      </c>
      <c r="E4" s="21">
        <v>34071</v>
      </c>
      <c r="F4" s="21">
        <v>29579</v>
      </c>
    </row>
    <row r="5" spans="1:6" x14ac:dyDescent="0.35">
      <c r="A5" s="21" t="s">
        <v>98</v>
      </c>
      <c r="B5" s="21">
        <v>123053</v>
      </c>
      <c r="C5" s="21">
        <v>140286</v>
      </c>
      <c r="D5" s="21">
        <v>139606</v>
      </c>
      <c r="E5" s="21">
        <v>136099</v>
      </c>
      <c r="F5" s="21">
        <v>151271</v>
      </c>
    </row>
    <row r="6" spans="1:6" x14ac:dyDescent="0.35">
      <c r="A6" s="21" t="s">
        <v>97</v>
      </c>
      <c r="B6" s="21">
        <v>139007</v>
      </c>
      <c r="C6" s="21">
        <v>151275</v>
      </c>
      <c r="D6" s="21">
        <v>147657</v>
      </c>
      <c r="E6" s="21">
        <v>147210</v>
      </c>
      <c r="F6" s="21">
        <v>174957</v>
      </c>
    </row>
    <row r="7" spans="1:6" x14ac:dyDescent="0.35">
      <c r="A7" s="21" t="s">
        <v>13</v>
      </c>
      <c r="B7" s="21">
        <v>30345</v>
      </c>
      <c r="C7" s="21">
        <v>28946</v>
      </c>
      <c r="D7" s="21">
        <v>33992</v>
      </c>
      <c r="E7" s="21">
        <v>36089</v>
      </c>
      <c r="F7" s="21">
        <v>42777</v>
      </c>
    </row>
    <row r="8" spans="1:6" x14ac:dyDescent="0.35">
      <c r="A8" s="21" t="s">
        <v>96</v>
      </c>
      <c r="B8" s="21">
        <v>107946</v>
      </c>
      <c r="C8" s="21">
        <v>122191</v>
      </c>
      <c r="D8" s="21">
        <v>113500</v>
      </c>
      <c r="E8" s="21">
        <v>110452</v>
      </c>
      <c r="F8" s="21">
        <v>131354</v>
      </c>
    </row>
    <row r="9" spans="1:6" x14ac:dyDescent="0.35">
      <c r="A9" s="21" t="s">
        <v>95</v>
      </c>
      <c r="B9" s="21">
        <v>9.5500000000000007</v>
      </c>
      <c r="C9" s="21">
        <v>11.17</v>
      </c>
      <c r="D9" s="21">
        <v>10.37</v>
      </c>
      <c r="E9" s="21">
        <v>10.44</v>
      </c>
      <c r="F9" s="21">
        <v>12.56</v>
      </c>
    </row>
    <row r="10" spans="1:6" x14ac:dyDescent="0.35">
      <c r="A10" s="21" t="s">
        <v>94</v>
      </c>
      <c r="B10" s="21">
        <v>9.5299999999999994</v>
      </c>
      <c r="C10" s="21">
        <v>11.14</v>
      </c>
      <c r="D10" s="21">
        <v>10.34</v>
      </c>
      <c r="E10" s="21">
        <v>10.41</v>
      </c>
      <c r="F10" s="21">
        <v>12.52</v>
      </c>
    </row>
    <row r="11" spans="1:6" x14ac:dyDescent="0.35">
      <c r="A11" s="21" t="s">
        <v>93</v>
      </c>
      <c r="B11" s="21">
        <v>10958</v>
      </c>
      <c r="C11" s="21">
        <v>10964</v>
      </c>
      <c r="D11" s="21">
        <v>10976</v>
      </c>
      <c r="E11" s="21">
        <v>10450</v>
      </c>
      <c r="F11" s="21">
        <v>20944</v>
      </c>
    </row>
    <row r="12" spans="1:6" x14ac:dyDescent="0.35">
      <c r="A12" s="21" t="s">
        <v>92</v>
      </c>
      <c r="B12" s="21">
        <v>554593</v>
      </c>
      <c r="C12" s="21">
        <v>658673</v>
      </c>
      <c r="D12" s="21">
        <v>781753</v>
      </c>
      <c r="E12" s="21">
        <v>751223</v>
      </c>
      <c r="F12" s="21">
        <v>830447</v>
      </c>
    </row>
    <row r="13" spans="1:6" x14ac:dyDescent="0.35">
      <c r="A13" s="21" t="s">
        <v>91</v>
      </c>
      <c r="B13" s="21">
        <v>345500</v>
      </c>
      <c r="C13" s="21">
        <v>345491</v>
      </c>
      <c r="D13" s="21">
        <v>401112</v>
      </c>
      <c r="E13" s="21">
        <v>408124</v>
      </c>
      <c r="F13" s="21">
        <v>533765</v>
      </c>
    </row>
    <row r="14" spans="1:6" x14ac:dyDescent="0.35">
      <c r="A14" s="21" t="s">
        <v>90</v>
      </c>
      <c r="B14" s="21">
        <v>83332</v>
      </c>
      <c r="C14" s="21">
        <v>151696</v>
      </c>
      <c r="D14" s="21">
        <v>150093</v>
      </c>
      <c r="E14" s="21">
        <v>141466</v>
      </c>
      <c r="F14" s="21">
        <v>161817</v>
      </c>
    </row>
    <row r="15" spans="1:6" x14ac:dyDescent="0.35">
      <c r="A15" s="21" t="s">
        <v>89</v>
      </c>
      <c r="B15" s="21">
        <v>262168</v>
      </c>
      <c r="C15" s="21">
        <v>193795</v>
      </c>
      <c r="D15" s="21">
        <v>251019</v>
      </c>
      <c r="E15" s="21">
        <v>266658</v>
      </c>
      <c r="F15" s="21">
        <v>371948</v>
      </c>
    </row>
    <row r="16" spans="1:6" x14ac:dyDescent="0.35">
      <c r="A16" s="21" t="s">
        <v>88</v>
      </c>
      <c r="B16" s="21">
        <v>85192</v>
      </c>
      <c r="C16" s="21">
        <v>90898</v>
      </c>
      <c r="D16" s="21">
        <v>88659</v>
      </c>
      <c r="E16" s="21">
        <v>81608</v>
      </c>
      <c r="F16" s="21">
        <v>80684</v>
      </c>
    </row>
    <row r="17" spans="1:6" x14ac:dyDescent="0.35">
      <c r="A17" s="21" t="s">
        <v>87</v>
      </c>
      <c r="B17" s="21">
        <v>13085</v>
      </c>
      <c r="C17" s="21">
        <v>43555</v>
      </c>
      <c r="D17" s="21">
        <v>43045</v>
      </c>
      <c r="E17" s="21">
        <v>32748</v>
      </c>
      <c r="F17" s="21">
        <v>27450</v>
      </c>
    </row>
    <row r="18" spans="1:6" x14ac:dyDescent="0.35">
      <c r="A18" s="21" t="s">
        <v>86</v>
      </c>
      <c r="B18" s="21">
        <v>98277</v>
      </c>
      <c r="C18" s="21">
        <v>134453</v>
      </c>
      <c r="D18" s="21">
        <v>131704</v>
      </c>
      <c r="E18" s="21">
        <v>114356</v>
      </c>
      <c r="F18" s="21">
        <v>108134</v>
      </c>
    </row>
    <row r="19" spans="1:6" x14ac:dyDescent="0.35">
      <c r="A19" s="21" t="s">
        <v>85</v>
      </c>
      <c r="B19" s="21">
        <v>139127</v>
      </c>
      <c r="C19" s="21">
        <v>246989</v>
      </c>
      <c r="D19" s="21">
        <v>307970</v>
      </c>
      <c r="E19" s="21">
        <v>316002</v>
      </c>
      <c r="F19" s="21">
        <v>325014</v>
      </c>
    </row>
    <row r="20" spans="1:6" x14ac:dyDescent="0.35">
      <c r="A20" s="21" t="s">
        <v>84</v>
      </c>
      <c r="B20" s="21">
        <v>293146</v>
      </c>
      <c r="C20" s="21">
        <v>312423</v>
      </c>
      <c r="D20" s="21">
        <v>393343</v>
      </c>
      <c r="E20" s="21">
        <v>398204</v>
      </c>
      <c r="F20" s="21">
        <v>491522</v>
      </c>
    </row>
    <row r="21" spans="1:6" x14ac:dyDescent="0.35">
      <c r="A21" s="21" t="s">
        <v>83</v>
      </c>
      <c r="B21" s="21">
        <v>637925</v>
      </c>
      <c r="C21" s="21">
        <v>810369</v>
      </c>
      <c r="D21" s="21">
        <v>931846</v>
      </c>
      <c r="E21" s="21">
        <v>892689</v>
      </c>
      <c r="F21" s="21">
        <v>992264</v>
      </c>
    </row>
    <row r="22" spans="1:6" x14ac:dyDescent="0.35">
      <c r="A22" s="21" t="s">
        <v>82</v>
      </c>
      <c r="B22" s="21">
        <v>818539</v>
      </c>
      <c r="C22" s="21">
        <v>1934986</v>
      </c>
      <c r="D22" s="21">
        <v>2691329</v>
      </c>
      <c r="E22" s="21">
        <v>2397648</v>
      </c>
      <c r="F22" s="21">
        <v>2431180</v>
      </c>
    </row>
    <row r="23" spans="1:6" x14ac:dyDescent="0.35">
      <c r="A23" s="21" t="s">
        <v>81</v>
      </c>
      <c r="B23" s="21">
        <v>207.1</v>
      </c>
      <c r="C23" s="21">
        <v>296</v>
      </c>
      <c r="D23" s="21">
        <v>182.6</v>
      </c>
      <c r="E23" s="21">
        <v>240.1</v>
      </c>
      <c r="F23" s="21">
        <v>262.3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0A0C-7094-4A49-8CAD-86669CBB0A0A}">
  <dimension ref="A1:K50"/>
  <sheetViews>
    <sheetView tabSelected="1" workbookViewId="0">
      <selection activeCell="K3" sqref="K3"/>
    </sheetView>
  </sheetViews>
  <sheetFormatPr defaultRowHeight="14.6" x14ac:dyDescent="0.4"/>
  <cols>
    <col min="2" max="2" width="19.53515625" customWidth="1"/>
    <col min="3" max="3" width="21.3046875" customWidth="1"/>
    <col min="4" max="4" width="19.15234375" customWidth="1"/>
    <col min="5" max="5" width="21" customWidth="1"/>
    <col min="9" max="9" width="11.3828125" bestFit="1" customWidth="1"/>
  </cols>
  <sheetData>
    <row r="1" spans="1:11" ht="43.75" x14ac:dyDescent="0.4">
      <c r="A1" s="23" t="s">
        <v>108</v>
      </c>
      <c r="B1" s="23" t="s">
        <v>101</v>
      </c>
      <c r="C1" s="23" t="s">
        <v>8</v>
      </c>
      <c r="D1" s="23" t="s">
        <v>109</v>
      </c>
      <c r="F1" s="23" t="s">
        <v>108</v>
      </c>
      <c r="G1" s="23" t="s">
        <v>125</v>
      </c>
      <c r="H1" s="23" t="s">
        <v>126</v>
      </c>
      <c r="I1" s="23" t="s">
        <v>127</v>
      </c>
    </row>
    <row r="2" spans="1:11" x14ac:dyDescent="0.4">
      <c r="A2" s="24">
        <v>2020</v>
      </c>
      <c r="B2" s="25">
        <v>61137.599999999999</v>
      </c>
      <c r="C2" s="25">
        <v>12342.300000000003</v>
      </c>
      <c r="D2" s="25">
        <v>9722.2999999999993</v>
      </c>
      <c r="F2" s="24">
        <v>2020</v>
      </c>
      <c r="G2" s="25">
        <v>12342.300000000003</v>
      </c>
      <c r="H2" s="25">
        <v>732.8</v>
      </c>
      <c r="I2" s="27">
        <f>G2/H2</f>
        <v>16.842658296943238</v>
      </c>
    </row>
    <row r="3" spans="1:11" x14ac:dyDescent="0.4">
      <c r="A3" s="24">
        <v>2021</v>
      </c>
      <c r="B3" s="25">
        <v>61934.9</v>
      </c>
      <c r="C3" s="25">
        <v>14771.400000000009</v>
      </c>
      <c r="D3" s="25">
        <v>10796.4</v>
      </c>
      <c r="F3" s="24">
        <v>2021</v>
      </c>
      <c r="G3" s="25">
        <v>14771.400000000009</v>
      </c>
      <c r="H3" s="25">
        <v>508.8</v>
      </c>
      <c r="I3" s="27">
        <f t="shared" ref="I3:I7" si="0">G3/H3</f>
        <v>29.031839622641527</v>
      </c>
    </row>
    <row r="4" spans="1:11" x14ac:dyDescent="0.4">
      <c r="A4" s="24">
        <v>2022</v>
      </c>
      <c r="B4" s="25">
        <v>79312</v>
      </c>
      <c r="C4" s="25">
        <v>16684.199999999997</v>
      </c>
      <c r="D4" s="25">
        <v>12229.6</v>
      </c>
      <c r="F4" s="24">
        <v>2022</v>
      </c>
      <c r="G4" s="25">
        <v>16684.199999999997</v>
      </c>
      <c r="H4" s="25">
        <v>532.5</v>
      </c>
      <c r="I4" s="27">
        <f t="shared" si="0"/>
        <v>31.331830985915488</v>
      </c>
    </row>
    <row r="5" spans="1:11" x14ac:dyDescent="0.4">
      <c r="A5" s="24">
        <v>2023</v>
      </c>
      <c r="B5" s="25">
        <v>90487.6</v>
      </c>
      <c r="C5" s="25">
        <v>16839.000000000015</v>
      </c>
      <c r="D5" s="25">
        <v>11350</v>
      </c>
      <c r="F5" s="24">
        <v>2023</v>
      </c>
      <c r="G5" s="25">
        <v>16839.000000000015</v>
      </c>
      <c r="H5" s="25">
        <v>1007.7</v>
      </c>
      <c r="I5" s="27">
        <f t="shared" si="0"/>
        <v>16.71033045549272</v>
      </c>
    </row>
    <row r="6" spans="1:11" x14ac:dyDescent="0.4">
      <c r="A6" s="24">
        <v>2024</v>
      </c>
      <c r="B6" s="25">
        <v>89760.3</v>
      </c>
      <c r="C6" s="25">
        <v>16752.499999999985</v>
      </c>
      <c r="D6" s="25">
        <v>11045.2</v>
      </c>
      <c r="F6" s="24">
        <v>2024</v>
      </c>
      <c r="G6" s="25">
        <v>16752.499999999985</v>
      </c>
      <c r="H6" s="25">
        <v>1255.2</v>
      </c>
      <c r="I6" s="27">
        <f t="shared" si="0"/>
        <v>13.346478648820893</v>
      </c>
    </row>
    <row r="7" spans="1:11" x14ac:dyDescent="0.4">
      <c r="A7" s="24">
        <v>2025</v>
      </c>
      <c r="B7" s="25">
        <v>89088.4</v>
      </c>
      <c r="C7" s="25">
        <v>18021.199999999997</v>
      </c>
      <c r="D7" s="25">
        <v>13135.4</v>
      </c>
      <c r="F7" s="24">
        <v>2025</v>
      </c>
      <c r="G7" s="25">
        <v>18021.199999999997</v>
      </c>
      <c r="H7" s="25">
        <v>1477</v>
      </c>
      <c r="I7" s="27">
        <f t="shared" si="0"/>
        <v>12.201218686526742</v>
      </c>
    </row>
    <row r="8" spans="1:11" x14ac:dyDescent="0.4">
      <c r="H8" s="31" t="s">
        <v>118</v>
      </c>
      <c r="I8" s="27">
        <f>AVERAGE(I2:I7)</f>
        <v>19.910726116056768</v>
      </c>
    </row>
    <row r="9" spans="1:11" ht="19.3" customHeight="1" x14ac:dyDescent="0.4">
      <c r="A9" s="23" t="s">
        <v>108</v>
      </c>
      <c r="B9" s="23" t="s">
        <v>101</v>
      </c>
      <c r="C9" s="23" t="s">
        <v>109</v>
      </c>
      <c r="D9" s="23" t="s">
        <v>8</v>
      </c>
      <c r="E9" s="23" t="s">
        <v>110</v>
      </c>
      <c r="I9" s="24"/>
    </row>
    <row r="10" spans="1:11" x14ac:dyDescent="0.4">
      <c r="A10" s="24">
        <v>2020</v>
      </c>
      <c r="B10" s="25">
        <v>61137.599999999999</v>
      </c>
      <c r="C10" s="25">
        <v>9722.2999999999993</v>
      </c>
      <c r="D10" s="25">
        <v>12342.300000000003</v>
      </c>
      <c r="E10" s="25">
        <v>55321.7</v>
      </c>
      <c r="I10" s="24"/>
    </row>
    <row r="11" spans="1:11" x14ac:dyDescent="0.4">
      <c r="A11" s="24">
        <v>2021</v>
      </c>
      <c r="B11" s="25">
        <v>61934.9</v>
      </c>
      <c r="C11" s="25">
        <v>10796.4</v>
      </c>
      <c r="D11" s="25">
        <v>14771.400000000009</v>
      </c>
      <c r="E11" s="25">
        <v>54901</v>
      </c>
      <c r="I11" s="24"/>
    </row>
    <row r="12" spans="1:11" x14ac:dyDescent="0.4">
      <c r="A12" s="24">
        <v>2022</v>
      </c>
      <c r="B12" s="25">
        <v>79312</v>
      </c>
      <c r="C12" s="25">
        <v>12229.6</v>
      </c>
      <c r="D12" s="25">
        <v>16684.199999999997</v>
      </c>
      <c r="E12" s="25">
        <v>65403</v>
      </c>
      <c r="I12" s="24"/>
    </row>
    <row r="13" spans="1:11" x14ac:dyDescent="0.4">
      <c r="A13" s="24">
        <v>2023</v>
      </c>
      <c r="B13" s="25">
        <v>90487.6</v>
      </c>
      <c r="C13" s="25">
        <v>11350</v>
      </c>
      <c r="D13" s="25">
        <v>16839.000000000015</v>
      </c>
      <c r="E13" s="25">
        <v>77667.900000000009</v>
      </c>
      <c r="I13" s="24"/>
    </row>
    <row r="14" spans="1:11" x14ac:dyDescent="0.4">
      <c r="A14" s="24">
        <v>2024</v>
      </c>
      <c r="B14" s="25">
        <v>89760.3</v>
      </c>
      <c r="C14" s="25">
        <v>11045.2</v>
      </c>
      <c r="D14" s="25">
        <v>16752.499999999985</v>
      </c>
      <c r="E14" s="25">
        <v>74988.3</v>
      </c>
      <c r="I14" s="24"/>
    </row>
    <row r="15" spans="1:11" x14ac:dyDescent="0.4">
      <c r="A15" s="24">
        <v>2025</v>
      </c>
      <c r="B15" s="25">
        <v>89088.4</v>
      </c>
      <c r="C15" s="25">
        <v>13135.4</v>
      </c>
      <c r="D15" s="25">
        <v>18021.199999999997</v>
      </c>
      <c r="E15" s="25">
        <v>82830.899999999994</v>
      </c>
      <c r="I15" s="24"/>
    </row>
    <row r="16" spans="1:11" x14ac:dyDescent="0.4">
      <c r="F16">
        <v>732.8</v>
      </c>
      <c r="G16">
        <v>508.8</v>
      </c>
      <c r="H16">
        <v>532.5</v>
      </c>
      <c r="I16">
        <v>1007.7</v>
      </c>
      <c r="J16">
        <v>1255.2</v>
      </c>
      <c r="K16">
        <v>1477</v>
      </c>
    </row>
    <row r="17" spans="1:10" ht="18.899999999999999" customHeight="1" x14ac:dyDescent="0.4">
      <c r="A17" s="23" t="s">
        <v>108</v>
      </c>
      <c r="B17" s="23" t="s">
        <v>111</v>
      </c>
      <c r="C17" s="23" t="s">
        <v>112</v>
      </c>
      <c r="D17" s="23" t="s">
        <v>113</v>
      </c>
      <c r="E17">
        <v>186.5</v>
      </c>
      <c r="F17">
        <v>106.4</v>
      </c>
      <c r="G17">
        <v>133.4</v>
      </c>
      <c r="H17">
        <v>118.8</v>
      </c>
      <c r="I17">
        <v>90.7</v>
      </c>
      <c r="J17">
        <v>69.400000000000006</v>
      </c>
    </row>
    <row r="18" spans="1:10" x14ac:dyDescent="0.4">
      <c r="A18" s="24">
        <v>2020</v>
      </c>
      <c r="B18" s="28">
        <f>(C10/B10)</f>
        <v>0.15902325246656721</v>
      </c>
      <c r="C18" s="28">
        <f>(D10/B10)</f>
        <v>0.20187740441234206</v>
      </c>
      <c r="D18" s="28">
        <f>(C10/E10)</f>
        <v>0.17574116485935898</v>
      </c>
      <c r="E18">
        <v>55321.7</v>
      </c>
      <c r="F18">
        <v>54901</v>
      </c>
      <c r="G18">
        <v>65403</v>
      </c>
      <c r="H18">
        <v>77667.900000000009</v>
      </c>
      <c r="I18">
        <v>74988.3</v>
      </c>
      <c r="J18">
        <v>82830.899999999994</v>
      </c>
    </row>
    <row r="19" spans="1:10" x14ac:dyDescent="0.4">
      <c r="A19" s="24">
        <v>2021</v>
      </c>
      <c r="B19" s="28">
        <f t="shared" ref="B19:B23" si="1">(C11/B11)</f>
        <v>0.17431851831519868</v>
      </c>
      <c r="C19" s="28">
        <f t="shared" ref="C19:C23" si="2">(D11/B11)</f>
        <v>0.2384988108481649</v>
      </c>
      <c r="D19" s="28">
        <f t="shared" ref="D19:D23" si="3">(C11/E11)</f>
        <v>0.196652155698439</v>
      </c>
    </row>
    <row r="20" spans="1:10" x14ac:dyDescent="0.4">
      <c r="A20" s="24">
        <v>2022</v>
      </c>
      <c r="B20" s="28">
        <f t="shared" si="1"/>
        <v>0.15419608634254589</v>
      </c>
      <c r="C20" s="28">
        <f t="shared" si="2"/>
        <v>0.21036160984466407</v>
      </c>
      <c r="D20" s="28">
        <f t="shared" si="3"/>
        <v>0.18698836444811401</v>
      </c>
    </row>
    <row r="21" spans="1:10" x14ac:dyDescent="0.4">
      <c r="A21" s="24">
        <v>2023</v>
      </c>
      <c r="B21" s="28">
        <f t="shared" si="1"/>
        <v>0.12543155084232535</v>
      </c>
      <c r="C21" s="28">
        <f t="shared" si="2"/>
        <v>0.18609179600298839</v>
      </c>
      <c r="D21" s="28">
        <f t="shared" si="3"/>
        <v>0.14613501845678845</v>
      </c>
    </row>
    <row r="22" spans="1:10" x14ac:dyDescent="0.4">
      <c r="A22" s="24">
        <v>2024</v>
      </c>
      <c r="B22" s="28">
        <f t="shared" si="1"/>
        <v>0.12305217339959872</v>
      </c>
      <c r="C22" s="28">
        <f t="shared" si="2"/>
        <v>0.18663596266946506</v>
      </c>
      <c r="D22" s="28">
        <f t="shared" si="3"/>
        <v>0.14729231093383902</v>
      </c>
    </row>
    <row r="23" spans="1:10" x14ac:dyDescent="0.4">
      <c r="A23" s="24">
        <v>2025</v>
      </c>
      <c r="B23" s="28">
        <f t="shared" si="1"/>
        <v>0.14744231572236116</v>
      </c>
      <c r="C23" s="28">
        <f t="shared" si="2"/>
        <v>0.20228447250147044</v>
      </c>
      <c r="D23" s="28">
        <f t="shared" si="3"/>
        <v>0.15858091605910354</v>
      </c>
    </row>
    <row r="25" spans="1:10" ht="29.15" x14ac:dyDescent="0.4">
      <c r="A25" s="23" t="s">
        <v>114</v>
      </c>
      <c r="B25" s="23" t="s">
        <v>115</v>
      </c>
      <c r="C25" s="23" t="s">
        <v>116</v>
      </c>
      <c r="D25" s="23" t="s">
        <v>117</v>
      </c>
      <c r="F25" s="23" t="s">
        <v>45</v>
      </c>
    </row>
    <row r="26" spans="1:10" x14ac:dyDescent="0.4">
      <c r="A26" s="24">
        <v>2020</v>
      </c>
      <c r="B26" s="25">
        <v>25083.8</v>
      </c>
      <c r="C26" s="25">
        <v>15953.9</v>
      </c>
      <c r="D26" s="26">
        <f>B26/C26</f>
        <v>1.5722675960110066</v>
      </c>
      <c r="F26" s="25">
        <v>186.5</v>
      </c>
    </row>
    <row r="27" spans="1:10" x14ac:dyDescent="0.4">
      <c r="A27" s="24">
        <v>2021</v>
      </c>
      <c r="B27" s="25">
        <v>26515.5</v>
      </c>
      <c r="C27" s="25">
        <v>17213.400000000001</v>
      </c>
      <c r="D27" s="26">
        <f t="shared" ref="D27:D31" si="4">B27/C27</f>
        <v>1.5403987591062775</v>
      </c>
      <c r="F27" s="25">
        <v>106.4</v>
      </c>
    </row>
    <row r="28" spans="1:10" x14ac:dyDescent="0.4">
      <c r="A28" s="24">
        <v>2022</v>
      </c>
      <c r="B28" s="25">
        <v>22038.9</v>
      </c>
      <c r="C28" s="25">
        <v>24279.7</v>
      </c>
      <c r="D28" s="26">
        <f t="shared" si="4"/>
        <v>0.90770890908866253</v>
      </c>
      <c r="F28" s="25">
        <v>133.4</v>
      </c>
    </row>
    <row r="29" spans="1:10" x14ac:dyDescent="0.4">
      <c r="A29" s="24">
        <v>2023</v>
      </c>
      <c r="B29" s="25">
        <v>21941.8</v>
      </c>
      <c r="C29" s="25">
        <v>21789.200000000001</v>
      </c>
      <c r="D29" s="26">
        <f t="shared" si="4"/>
        <v>1.0070034696087971</v>
      </c>
      <c r="F29" s="25">
        <v>118.8</v>
      </c>
    </row>
    <row r="30" spans="1:10" x14ac:dyDescent="0.4">
      <c r="A30" s="24">
        <v>2024</v>
      </c>
      <c r="B30" s="25">
        <v>21333.7</v>
      </c>
      <c r="C30" s="25">
        <v>23611</v>
      </c>
      <c r="D30" s="26">
        <f t="shared" si="4"/>
        <v>0.90354919317267379</v>
      </c>
      <c r="F30" s="25">
        <v>90.7</v>
      </c>
    </row>
    <row r="31" spans="1:10" x14ac:dyDescent="0.4">
      <c r="A31" s="24">
        <v>2025</v>
      </c>
      <c r="B31" s="25">
        <v>24041.3</v>
      </c>
      <c r="C31" s="25">
        <v>26361.5</v>
      </c>
      <c r="D31" s="26">
        <f t="shared" si="4"/>
        <v>0.91198528156591996</v>
      </c>
      <c r="F31" s="25">
        <v>69.400000000000006</v>
      </c>
    </row>
    <row r="32" spans="1:10" x14ac:dyDescent="0.4">
      <c r="C32" s="29" t="s">
        <v>118</v>
      </c>
      <c r="D32" s="26">
        <f>AVERAGE(D26:D31)</f>
        <v>1.1404855347588896</v>
      </c>
    </row>
    <row r="34" spans="1:4" x14ac:dyDescent="0.4">
      <c r="A34" s="23" t="s">
        <v>108</v>
      </c>
      <c r="B34" s="23" t="s">
        <v>119</v>
      </c>
      <c r="C34" s="23" t="s">
        <v>120</v>
      </c>
      <c r="D34" s="23" t="s">
        <v>121</v>
      </c>
    </row>
    <row r="35" spans="1:4" x14ac:dyDescent="0.4">
      <c r="A35" s="24">
        <v>2020</v>
      </c>
      <c r="B35" s="25">
        <f>B26-F26</f>
        <v>24897.3</v>
      </c>
      <c r="C35" s="25">
        <v>15953.9</v>
      </c>
      <c r="D35" s="26">
        <f>B35/C35</f>
        <v>1.5605776643955396</v>
      </c>
    </row>
    <row r="36" spans="1:4" x14ac:dyDescent="0.4">
      <c r="A36" s="24">
        <v>2021</v>
      </c>
      <c r="B36" s="25">
        <f t="shared" ref="B36:B40" si="5">B27-F27</f>
        <v>26409.1</v>
      </c>
      <c r="C36" s="25">
        <v>17213.400000000001</v>
      </c>
      <c r="D36" s="26">
        <f t="shared" ref="D36:D39" si="6">B36/C36</f>
        <v>1.5342175282047705</v>
      </c>
    </row>
    <row r="37" spans="1:4" x14ac:dyDescent="0.4">
      <c r="A37" s="24">
        <v>2022</v>
      </c>
      <c r="B37" s="25">
        <f t="shared" si="5"/>
        <v>21905.5</v>
      </c>
      <c r="C37" s="25">
        <v>24279.7</v>
      </c>
      <c r="D37" s="26">
        <f t="shared" si="6"/>
        <v>0.90221460726450486</v>
      </c>
    </row>
    <row r="38" spans="1:4" x14ac:dyDescent="0.4">
      <c r="A38" s="24">
        <v>2023</v>
      </c>
      <c r="B38" s="25">
        <f t="shared" si="5"/>
        <v>21823</v>
      </c>
      <c r="C38" s="25">
        <v>21789.200000000001</v>
      </c>
      <c r="D38" s="26">
        <f t="shared" si="6"/>
        <v>1.0015512272134819</v>
      </c>
    </row>
    <row r="39" spans="1:4" x14ac:dyDescent="0.4">
      <c r="A39" s="24">
        <v>2024</v>
      </c>
      <c r="B39" s="25">
        <f t="shared" si="5"/>
        <v>21243</v>
      </c>
      <c r="C39" s="25">
        <v>23611</v>
      </c>
      <c r="D39" s="26">
        <f t="shared" si="6"/>
        <v>0.89970776333065094</v>
      </c>
    </row>
    <row r="40" spans="1:4" x14ac:dyDescent="0.4">
      <c r="A40" s="24">
        <v>2025</v>
      </c>
      <c r="B40" s="30">
        <f t="shared" si="5"/>
        <v>23971.899999999998</v>
      </c>
      <c r="C40" s="25">
        <v>26361.5</v>
      </c>
      <c r="D40" s="26">
        <f>B40/C40</f>
        <v>0.90935265443923896</v>
      </c>
    </row>
    <row r="41" spans="1:4" x14ac:dyDescent="0.4">
      <c r="A41" s="2"/>
      <c r="B41" s="2"/>
      <c r="C41" s="31" t="s">
        <v>118</v>
      </c>
      <c r="D41" s="32">
        <f>AVERAGE(D35:D40)</f>
        <v>1.1346035741413647</v>
      </c>
    </row>
    <row r="43" spans="1:4" ht="29.15" x14ac:dyDescent="0.4">
      <c r="A43" s="23" t="s">
        <v>108</v>
      </c>
      <c r="B43" s="23" t="s">
        <v>122</v>
      </c>
      <c r="C43" s="23" t="s">
        <v>123</v>
      </c>
      <c r="D43" s="23" t="s">
        <v>124</v>
      </c>
    </row>
    <row r="44" spans="1:4" x14ac:dyDescent="0.4">
      <c r="A44" s="24">
        <v>2020</v>
      </c>
      <c r="B44" s="25">
        <v>9724</v>
      </c>
      <c r="C44" s="25">
        <v>55321.7</v>
      </c>
      <c r="D44" s="24">
        <f>B44/C44</f>
        <v>0.17577189421149386</v>
      </c>
    </row>
    <row r="45" spans="1:4" x14ac:dyDescent="0.4">
      <c r="A45" s="24">
        <v>2021</v>
      </c>
      <c r="B45" s="25">
        <v>10451.4</v>
      </c>
      <c r="C45" s="25">
        <v>54901</v>
      </c>
      <c r="D45" s="24">
        <f t="shared" ref="D45:D49" si="7">B45/C45</f>
        <v>0.19036811715633595</v>
      </c>
    </row>
    <row r="46" spans="1:4" x14ac:dyDescent="0.4">
      <c r="A46" s="24">
        <v>2022</v>
      </c>
      <c r="B46" s="25">
        <v>17592.900000000001</v>
      </c>
      <c r="C46" s="25">
        <v>65403</v>
      </c>
      <c r="D46" s="24">
        <f t="shared" si="7"/>
        <v>0.26899224806201555</v>
      </c>
    </row>
    <row r="47" spans="1:4" x14ac:dyDescent="0.4">
      <c r="A47" s="24">
        <v>2023</v>
      </c>
      <c r="B47" s="25">
        <v>17466.599999999999</v>
      </c>
      <c r="C47" s="25">
        <v>77667.900000000009</v>
      </c>
      <c r="D47" s="24">
        <f t="shared" si="7"/>
        <v>0.22488827430637362</v>
      </c>
    </row>
    <row r="48" spans="1:4" x14ac:dyDescent="0.4">
      <c r="A48" s="24">
        <v>2024</v>
      </c>
      <c r="B48" s="25">
        <v>16464.900000000001</v>
      </c>
      <c r="C48" s="25">
        <v>74988.3</v>
      </c>
      <c r="D48" s="24">
        <f t="shared" si="7"/>
        <v>0.21956625233536434</v>
      </c>
    </row>
    <row r="49" spans="1:4" x14ac:dyDescent="0.4">
      <c r="A49" s="24">
        <v>2025</v>
      </c>
      <c r="B49" s="25">
        <v>19203.5</v>
      </c>
      <c r="C49" s="25">
        <v>82830.899999999994</v>
      </c>
      <c r="D49" s="33">
        <f t="shared" si="7"/>
        <v>0.2318398085738535</v>
      </c>
    </row>
    <row r="50" spans="1:4" x14ac:dyDescent="0.4">
      <c r="C50" s="34" t="s">
        <v>118</v>
      </c>
      <c r="D50" s="24">
        <f>AVERAGE(D44:D49)</f>
        <v>0.2185710991075728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Profit &amp; Loss</vt:lpstr>
      <vt:lpstr>Quarters</vt:lpstr>
      <vt:lpstr>Balance Sheet</vt:lpstr>
      <vt:lpstr>Cash Flow</vt:lpstr>
      <vt:lpstr>Data Sheet</vt:lpstr>
      <vt:lpstr>5 years financial data</vt:lpstr>
      <vt:lpstr>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Vaishnavi Thakur</cp:lastModifiedBy>
  <cp:lastPrinted>2012-12-06T18:14:13Z</cp:lastPrinted>
  <dcterms:created xsi:type="dcterms:W3CDTF">2012-08-17T09:55:37Z</dcterms:created>
  <dcterms:modified xsi:type="dcterms:W3CDTF">2026-06-23T07:43:37Z</dcterms:modified>
</cp:coreProperties>
</file>